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ferhr-my.sharepoint.com/personal/ap55849_fer_hr/Documents/Dokumenti Laptop/Academic_Victim/"/>
    </mc:Choice>
  </mc:AlternateContent>
  <xr:revisionPtr revIDLastSave="2643" documentId="8_{37AD6AAF-48ED-4C7E-AA93-6B557C5A0206}" xr6:coauthVersionLast="47" xr6:coauthVersionMax="47" xr10:uidLastSave="{5FF1C62D-B717-43F2-8EE5-CDEF48D69E99}"/>
  <bookViews>
    <workbookView xWindow="-108" yWindow="-108" windowWidth="23256" windowHeight="13896" firstSheet="5" activeTab="6" xr2:uid="{00000000-000D-0000-FFFF-FFFF00000000}"/>
  </bookViews>
  <sheets>
    <sheet name="ECTS" sheetId="5" state="hidden" r:id="rId1"/>
    <sheet name="SEM1" sheetId="1" state="hidden" r:id="rId2"/>
    <sheet name="SEM1_rokovi" sheetId="2" state="hidden" r:id="rId3"/>
    <sheet name="SEM2" sheetId="3" state="hidden" r:id="rId4"/>
    <sheet name="SEM2_rokovi" sheetId="4" state="hidden" r:id="rId5"/>
    <sheet name="SEM3_E" sheetId="7" r:id="rId6"/>
    <sheet name="SEM3_R" sheetId="8" r:id="rId7"/>
    <sheet name="SEM3_rokovi" sheetId="9" r:id="rId8"/>
    <sheet name="SEM4_E" sheetId="10" r:id="rId9"/>
    <sheet name="SEM4_R" sheetId="11" r:id="rId10"/>
    <sheet name="SEM4_rokovi" sheetId="12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0" l="1"/>
  <c r="P45" i="12"/>
  <c r="O45" i="12"/>
  <c r="M45" i="12"/>
  <c r="L45" i="12"/>
  <c r="N45" i="12" s="1"/>
  <c r="N44" i="12"/>
  <c r="N43" i="12"/>
  <c r="N42" i="12"/>
  <c r="P38" i="12"/>
  <c r="O38" i="12"/>
  <c r="M38" i="12"/>
  <c r="L38" i="12"/>
  <c r="N38" i="12" s="1"/>
  <c r="N37" i="12"/>
  <c r="N36" i="12"/>
  <c r="N35" i="12"/>
  <c r="N34" i="12"/>
  <c r="O29" i="12"/>
  <c r="L29" i="12"/>
  <c r="N29" i="12" s="1"/>
  <c r="N28" i="12"/>
  <c r="N27" i="12"/>
  <c r="N26" i="12"/>
  <c r="P22" i="12"/>
  <c r="O22" i="12"/>
  <c r="M22" i="12"/>
  <c r="L22" i="12"/>
  <c r="N22" i="12" s="1"/>
  <c r="N21" i="12"/>
  <c r="N20" i="12"/>
  <c r="N19" i="12"/>
  <c r="N18" i="12"/>
  <c r="P14" i="12"/>
  <c r="O14" i="12"/>
  <c r="M14" i="12"/>
  <c r="L14" i="12"/>
  <c r="N14" i="12" s="1"/>
  <c r="N13" i="12"/>
  <c r="N12" i="12"/>
  <c r="N11" i="12"/>
  <c r="P6" i="12"/>
  <c r="O6" i="12"/>
  <c r="E36" i="12" s="1"/>
  <c r="F36" i="12" s="1"/>
  <c r="M6" i="12"/>
  <c r="E23" i="12" s="1"/>
  <c r="F23" i="12" s="1"/>
  <c r="L6" i="12"/>
  <c r="N6" i="12" s="1"/>
  <c r="E29" i="12" s="1"/>
  <c r="N5" i="12"/>
  <c r="N4" i="12"/>
  <c r="N3" i="12"/>
  <c r="N2" i="12"/>
  <c r="G47" i="12"/>
  <c r="G46" i="12"/>
  <c r="G45" i="12"/>
  <c r="G44" i="12"/>
  <c r="F47" i="12"/>
  <c r="F46" i="12"/>
  <c r="F45" i="12"/>
  <c r="F44" i="12"/>
  <c r="E47" i="12"/>
  <c r="E46" i="12"/>
  <c r="E45" i="12"/>
  <c r="E44" i="12"/>
  <c r="B27" i="12"/>
  <c r="B29" i="12" s="1"/>
  <c r="B21" i="12"/>
  <c r="B23" i="12" s="1"/>
  <c r="D23" i="12" s="1"/>
  <c r="B15" i="12"/>
  <c r="B14" i="12"/>
  <c r="D14" i="12" s="1"/>
  <c r="B17" i="12"/>
  <c r="D17" i="12" s="1"/>
  <c r="F17" i="12"/>
  <c r="E17" i="12"/>
  <c r="D16" i="12"/>
  <c r="D20" i="10"/>
  <c r="B2" i="12"/>
  <c r="D2" i="12" s="1"/>
  <c r="B8" i="12"/>
  <c r="D8" i="12" s="1"/>
  <c r="C36" i="12"/>
  <c r="B36" i="12"/>
  <c r="D35" i="12"/>
  <c r="D34" i="12"/>
  <c r="C29" i="12"/>
  <c r="D28" i="12"/>
  <c r="D27" i="12"/>
  <c r="D22" i="12"/>
  <c r="E10" i="12"/>
  <c r="F10" i="12" s="1"/>
  <c r="D9" i="12"/>
  <c r="E5" i="12"/>
  <c r="F5" i="12" s="1"/>
  <c r="D4" i="12"/>
  <c r="D3" i="12"/>
  <c r="P6" i="11"/>
  <c r="P5" i="11"/>
  <c r="P4" i="11"/>
  <c r="P3" i="11"/>
  <c r="D12" i="11"/>
  <c r="D11" i="11"/>
  <c r="D3" i="11"/>
  <c r="P7" i="11"/>
  <c r="N6" i="11"/>
  <c r="N5" i="11"/>
  <c r="N4" i="11"/>
  <c r="N3" i="11"/>
  <c r="M6" i="11"/>
  <c r="M5" i="11"/>
  <c r="M4" i="11"/>
  <c r="C38" i="11"/>
  <c r="D35" i="11"/>
  <c r="D34" i="11"/>
  <c r="C22" i="11"/>
  <c r="D18" i="11"/>
  <c r="F45" i="11"/>
  <c r="C45" i="11"/>
  <c r="B45" i="11"/>
  <c r="D45" i="11" s="1"/>
  <c r="D44" i="11"/>
  <c r="D43" i="11"/>
  <c r="D42" i="11"/>
  <c r="B38" i="11"/>
  <c r="O4" i="11" s="1"/>
  <c r="D37" i="11"/>
  <c r="D36" i="11"/>
  <c r="D28" i="11"/>
  <c r="D27" i="11"/>
  <c r="B29" i="11"/>
  <c r="B22" i="11"/>
  <c r="D21" i="11"/>
  <c r="D20" i="11"/>
  <c r="D19" i="11"/>
  <c r="C14" i="11"/>
  <c r="D13" i="11"/>
  <c r="C6" i="11"/>
  <c r="B6" i="11"/>
  <c r="K5" i="11" s="1"/>
  <c r="D5" i="11"/>
  <c r="D4" i="11"/>
  <c r="D2" i="11"/>
  <c r="D4" i="10"/>
  <c r="C44" i="10"/>
  <c r="B44" i="10"/>
  <c r="O6" i="10" s="1"/>
  <c r="D43" i="10"/>
  <c r="D42" i="10"/>
  <c r="D41" i="10"/>
  <c r="C36" i="10"/>
  <c r="D35" i="10"/>
  <c r="D34" i="10"/>
  <c r="D33" i="10"/>
  <c r="M3" i="10"/>
  <c r="D28" i="10"/>
  <c r="D27" i="10"/>
  <c r="D26" i="10"/>
  <c r="D21" i="10"/>
  <c r="D18" i="10"/>
  <c r="C14" i="10"/>
  <c r="D13" i="10"/>
  <c r="D12" i="10"/>
  <c r="D11" i="10"/>
  <c r="D10" i="10"/>
  <c r="D9" i="10"/>
  <c r="M5" i="10"/>
  <c r="D5" i="10"/>
  <c r="D3" i="10"/>
  <c r="B6" i="10"/>
  <c r="B22" i="7"/>
  <c r="D10" i="7"/>
  <c r="J8" i="9"/>
  <c r="D49" i="7"/>
  <c r="B18" i="9"/>
  <c r="D18" i="9" s="1"/>
  <c r="B29" i="9"/>
  <c r="D2" i="7"/>
  <c r="D51" i="7"/>
  <c r="D50" i="7"/>
  <c r="B16" i="1"/>
  <c r="D16" i="1"/>
  <c r="B25" i="9"/>
  <c r="B17" i="4"/>
  <c r="J34" i="9"/>
  <c r="J33" i="9"/>
  <c r="J37" i="9" s="1"/>
  <c r="J22" i="9"/>
  <c r="J21" i="9"/>
  <c r="L21" i="9" s="1"/>
  <c r="J15" i="9"/>
  <c r="L15" i="9" s="1"/>
  <c r="J2" i="9"/>
  <c r="J4" i="9" s="1"/>
  <c r="B37" i="9"/>
  <c r="D37" i="9" s="1"/>
  <c r="B36" i="9"/>
  <c r="D36" i="9" s="1"/>
  <c r="B17" i="9"/>
  <c r="D17" i="9" s="1"/>
  <c r="B11" i="9"/>
  <c r="D11" i="9" s="1"/>
  <c r="L18" i="5"/>
  <c r="K18" i="5"/>
  <c r="F18" i="5"/>
  <c r="C18" i="5"/>
  <c r="B18" i="5"/>
  <c r="X16" i="9"/>
  <c r="X15" i="9"/>
  <c r="X17" i="9"/>
  <c r="X14" i="9"/>
  <c r="X13" i="9"/>
  <c r="N24" i="9"/>
  <c r="L16" i="9"/>
  <c r="K17" i="9"/>
  <c r="E40" i="9"/>
  <c r="E20" i="9"/>
  <c r="E13" i="9"/>
  <c r="Y7" i="9"/>
  <c r="Y6" i="9"/>
  <c r="V6" i="9"/>
  <c r="U6" i="9"/>
  <c r="Y5" i="9"/>
  <c r="V5" i="9"/>
  <c r="U5" i="9"/>
  <c r="Y4" i="9"/>
  <c r="V4" i="9"/>
  <c r="U4" i="9"/>
  <c r="Y3" i="9"/>
  <c r="V3" i="9"/>
  <c r="V7" i="9"/>
  <c r="M24" i="9"/>
  <c r="U3" i="9"/>
  <c r="U7" i="9"/>
  <c r="M17" i="9"/>
  <c r="N37" i="9"/>
  <c r="K37" i="9"/>
  <c r="L36" i="9"/>
  <c r="L35" i="9"/>
  <c r="L34" i="9"/>
  <c r="N29" i="9"/>
  <c r="K29" i="9"/>
  <c r="J29" i="9"/>
  <c r="L29" i="9"/>
  <c r="L28" i="9"/>
  <c r="L23" i="9"/>
  <c r="N17" i="9"/>
  <c r="K11" i="9"/>
  <c r="L10" i="9"/>
  <c r="L9" i="9"/>
  <c r="K4" i="9"/>
  <c r="L3" i="9"/>
  <c r="F40" i="9"/>
  <c r="C40" i="9"/>
  <c r="D39" i="9"/>
  <c r="D38" i="9"/>
  <c r="C32" i="9"/>
  <c r="D31" i="9"/>
  <c r="D30" i="9"/>
  <c r="D24" i="9"/>
  <c r="F20" i="9"/>
  <c r="D19" i="9"/>
  <c r="F13" i="9"/>
  <c r="C13" i="9"/>
  <c r="D12" i="9"/>
  <c r="D4" i="9"/>
  <c r="D3" i="9"/>
  <c r="C12" i="8"/>
  <c r="D10" i="8"/>
  <c r="D11" i="8"/>
  <c r="P6" i="8"/>
  <c r="C41" i="8"/>
  <c r="B41" i="8"/>
  <c r="P3" i="8" s="1"/>
  <c r="D40" i="8"/>
  <c r="D39" i="8"/>
  <c r="D38" i="8"/>
  <c r="D37" i="8"/>
  <c r="C33" i="8"/>
  <c r="B33" i="8"/>
  <c r="D33" i="8" s="1"/>
  <c r="D32" i="8"/>
  <c r="D31" i="8"/>
  <c r="D24" i="8"/>
  <c r="B27" i="8"/>
  <c r="N6" i="8" s="1"/>
  <c r="D26" i="8"/>
  <c r="D25" i="8"/>
  <c r="D23" i="8"/>
  <c r="D16" i="8"/>
  <c r="D17" i="8"/>
  <c r="D18" i="8"/>
  <c r="C19" i="8"/>
  <c r="B19" i="8"/>
  <c r="D19" i="8" s="1"/>
  <c r="D3" i="8"/>
  <c r="D4" i="8"/>
  <c r="D2" i="8"/>
  <c r="C5" i="8"/>
  <c r="B5" i="8"/>
  <c r="K4" i="8" s="1"/>
  <c r="D44" i="7"/>
  <c r="D42" i="7"/>
  <c r="D43" i="7"/>
  <c r="D41" i="7"/>
  <c r="C45" i="7"/>
  <c r="B45" i="7"/>
  <c r="O4" i="7" s="1"/>
  <c r="D45" i="7"/>
  <c r="D34" i="7"/>
  <c r="D35" i="7"/>
  <c r="D36" i="7"/>
  <c r="E34" i="7"/>
  <c r="D33" i="7"/>
  <c r="B37" i="7"/>
  <c r="N3" i="7" s="1"/>
  <c r="C37" i="7"/>
  <c r="D26" i="7"/>
  <c r="B29" i="7"/>
  <c r="M3" i="7" s="1"/>
  <c r="D28" i="7"/>
  <c r="D27" i="7"/>
  <c r="D20" i="7"/>
  <c r="D18" i="7"/>
  <c r="D13" i="7"/>
  <c r="E12" i="7"/>
  <c r="D11" i="7"/>
  <c r="D12" i="7"/>
  <c r="C14" i="7"/>
  <c r="D4" i="7"/>
  <c r="D3" i="7"/>
  <c r="B2" i="2"/>
  <c r="D17" i="4"/>
  <c r="B3" i="4"/>
  <c r="B14" i="3"/>
  <c r="B35" i="3"/>
  <c r="B13" i="4"/>
  <c r="D13" i="4"/>
  <c r="D19" i="3"/>
  <c r="B7" i="3"/>
  <c r="N8" i="3"/>
  <c r="B7" i="1"/>
  <c r="N6" i="1"/>
  <c r="B14" i="4"/>
  <c r="F24" i="4"/>
  <c r="F9" i="4"/>
  <c r="F22" i="2"/>
  <c r="E12" i="5"/>
  <c r="B12" i="5"/>
  <c r="E7" i="5"/>
  <c r="B12" i="4"/>
  <c r="D12" i="4"/>
  <c r="D16" i="4"/>
  <c r="B2" i="4"/>
  <c r="D2" i="4"/>
  <c r="D4" i="4"/>
  <c r="D5" i="4"/>
  <c r="B30" i="3"/>
  <c r="Q8" i="3"/>
  <c r="E21" i="3"/>
  <c r="D6" i="3"/>
  <c r="Q7" i="4"/>
  <c r="Q6" i="4"/>
  <c r="Q5" i="4"/>
  <c r="Q4" i="4"/>
  <c r="P7" i="4"/>
  <c r="P6" i="4"/>
  <c r="P5" i="4"/>
  <c r="P4" i="4"/>
  <c r="N5" i="4"/>
  <c r="D24" i="4"/>
  <c r="D21" i="4"/>
  <c r="D17" i="3"/>
  <c r="D20" i="3"/>
  <c r="D21" i="3"/>
  <c r="D22" i="3"/>
  <c r="D34" i="3"/>
  <c r="D29" i="3"/>
  <c r="D28" i="3"/>
  <c r="D27" i="3"/>
  <c r="D23" i="3"/>
  <c r="D13" i="3"/>
  <c r="D12" i="3"/>
  <c r="D5" i="3"/>
  <c r="D4" i="3"/>
  <c r="D3" i="3"/>
  <c r="D6" i="1"/>
  <c r="B13" i="1"/>
  <c r="D13" i="1"/>
  <c r="D35" i="1"/>
  <c r="D4" i="1"/>
  <c r="B20" i="2"/>
  <c r="D20" i="2"/>
  <c r="D19" i="2"/>
  <c r="E22" i="2"/>
  <c r="B7" i="2"/>
  <c r="B9" i="2"/>
  <c r="B18" i="2"/>
  <c r="B22" i="2"/>
  <c r="D22" i="2"/>
  <c r="D21" i="2"/>
  <c r="D34" i="1"/>
  <c r="D30" i="1"/>
  <c r="D31" i="1"/>
  <c r="D32" i="1"/>
  <c r="D33" i="1"/>
  <c r="D29" i="1"/>
  <c r="P8" i="2"/>
  <c r="P7" i="2"/>
  <c r="P6" i="2"/>
  <c r="P5" i="2"/>
  <c r="O8" i="2"/>
  <c r="O7" i="2"/>
  <c r="O6" i="2"/>
  <c r="O5" i="2"/>
  <c r="B4" i="2"/>
  <c r="M7" i="2"/>
  <c r="D2" i="2"/>
  <c r="D15" i="2"/>
  <c r="D12" i="2"/>
  <c r="D8" i="2"/>
  <c r="D3" i="2"/>
  <c r="Q5" i="2"/>
  <c r="Q8" i="2"/>
  <c r="Q7" i="2"/>
  <c r="Q6" i="2"/>
  <c r="Q9" i="2"/>
  <c r="D23" i="1"/>
  <c r="D24" i="1"/>
  <c r="D22" i="1"/>
  <c r="D17" i="1"/>
  <c r="D18" i="1"/>
  <c r="D11" i="1"/>
  <c r="D12" i="1"/>
  <c r="D10" i="1"/>
  <c r="D3" i="1"/>
  <c r="D5" i="1"/>
  <c r="D2" i="1"/>
  <c r="B19" i="1"/>
  <c r="D19" i="1"/>
  <c r="B25" i="1"/>
  <c r="D25" i="1"/>
  <c r="X3" i="9"/>
  <c r="X5" i="9"/>
  <c r="B40" i="9"/>
  <c r="D40" i="9" s="1"/>
  <c r="O5" i="8"/>
  <c r="M6" i="7"/>
  <c r="Q7" i="1"/>
  <c r="Q8" i="1"/>
  <c r="Q5" i="1"/>
  <c r="O7" i="3"/>
  <c r="D10" i="3"/>
  <c r="B24" i="3"/>
  <c r="P7" i="3"/>
  <c r="B15" i="4"/>
  <c r="D15" i="4"/>
  <c r="P6" i="1"/>
  <c r="P7" i="1"/>
  <c r="P5" i="1"/>
  <c r="P9" i="1"/>
  <c r="E19" i="1"/>
  <c r="F19" i="1"/>
  <c r="P8" i="1"/>
  <c r="D18" i="2"/>
  <c r="D18" i="3"/>
  <c r="D14" i="4"/>
  <c r="D11" i="3"/>
  <c r="D4" i="2"/>
  <c r="P9" i="2"/>
  <c r="E15" i="2"/>
  <c r="O9" i="2"/>
  <c r="E12" i="2"/>
  <c r="Q6" i="1"/>
  <c r="M6" i="2"/>
  <c r="M5" i="2"/>
  <c r="M8" i="2"/>
  <c r="B6" i="4"/>
  <c r="D3" i="4"/>
  <c r="Q8" i="4"/>
  <c r="E24" i="4"/>
  <c r="N6" i="3"/>
  <c r="D7" i="3"/>
  <c r="N7" i="3"/>
  <c r="D14" i="3"/>
  <c r="O8" i="3"/>
  <c r="O6" i="3"/>
  <c r="N7" i="4"/>
  <c r="N4" i="4"/>
  <c r="N6" i="4"/>
  <c r="P8" i="4"/>
  <c r="E21" i="4"/>
  <c r="D9" i="4"/>
  <c r="N5" i="3"/>
  <c r="D30" i="3"/>
  <c r="Q7" i="3"/>
  <c r="Q6" i="3"/>
  <c r="O5" i="3"/>
  <c r="Q5" i="3"/>
  <c r="D2" i="3"/>
  <c r="N5" i="1"/>
  <c r="N7" i="2"/>
  <c r="N8" i="2"/>
  <c r="D9" i="2"/>
  <c r="N5" i="2"/>
  <c r="N6" i="2"/>
  <c r="D7" i="2"/>
  <c r="O8" i="1"/>
  <c r="O6" i="1"/>
  <c r="O5" i="1"/>
  <c r="O7" i="1"/>
  <c r="B36" i="1"/>
  <c r="R8" i="1"/>
  <c r="D7" i="1"/>
  <c r="N7" i="1"/>
  <c r="N8" i="1"/>
  <c r="D12" i="5"/>
  <c r="F21" i="4"/>
  <c r="Q9" i="1"/>
  <c r="E25" i="1"/>
  <c r="D6" i="5"/>
  <c r="C6" i="5"/>
  <c r="B18" i="4"/>
  <c r="O6" i="4"/>
  <c r="P6" i="3"/>
  <c r="D24" i="3"/>
  <c r="P5" i="3"/>
  <c r="P8" i="3"/>
  <c r="F15" i="2"/>
  <c r="D7" i="5"/>
  <c r="F12" i="2"/>
  <c r="C7" i="5"/>
  <c r="M9" i="2"/>
  <c r="E4" i="2"/>
  <c r="M5" i="4"/>
  <c r="M4" i="4"/>
  <c r="M7" i="4"/>
  <c r="M6" i="4"/>
  <c r="D6" i="4"/>
  <c r="O9" i="3"/>
  <c r="E14" i="3"/>
  <c r="N8" i="4"/>
  <c r="E9" i="4"/>
  <c r="N9" i="3"/>
  <c r="E7" i="3"/>
  <c r="Q9" i="3"/>
  <c r="E30" i="3"/>
  <c r="F30" i="3"/>
  <c r="N9" i="1"/>
  <c r="E7" i="1"/>
  <c r="A6" i="5"/>
  <c r="O9" i="1"/>
  <c r="E13" i="1"/>
  <c r="N9" i="2"/>
  <c r="E9" i="2"/>
  <c r="R7" i="1"/>
  <c r="R5" i="1"/>
  <c r="D36" i="1"/>
  <c r="R6" i="1"/>
  <c r="C5" i="5"/>
  <c r="F25" i="1"/>
  <c r="O7" i="4"/>
  <c r="D18" i="4"/>
  <c r="O4" i="4"/>
  <c r="O5" i="4"/>
  <c r="P9" i="3"/>
  <c r="E24" i="3"/>
  <c r="C11" i="5"/>
  <c r="M8" i="4"/>
  <c r="E6" i="4"/>
  <c r="D11" i="5"/>
  <c r="D10" i="5"/>
  <c r="B11" i="5"/>
  <c r="B10" i="5"/>
  <c r="F14" i="3"/>
  <c r="F7" i="3"/>
  <c r="A11" i="5"/>
  <c r="D5" i="5"/>
  <c r="B7" i="5"/>
  <c r="F9" i="2"/>
  <c r="B6" i="5"/>
  <c r="F13" i="1"/>
  <c r="F7" i="1"/>
  <c r="A7" i="5"/>
  <c r="F4" i="2"/>
  <c r="R9" i="1"/>
  <c r="E36" i="1"/>
  <c r="O8" i="4"/>
  <c r="E18" i="4"/>
  <c r="C12" i="5"/>
  <c r="C10" i="5"/>
  <c r="F24" i="3"/>
  <c r="A12" i="5"/>
  <c r="A10" i="5"/>
  <c r="F6" i="4"/>
  <c r="B5" i="5"/>
  <c r="A5" i="5"/>
  <c r="E6" i="5"/>
  <c r="E5" i="5"/>
  <c r="F36" i="1"/>
  <c r="F2" i="1"/>
  <c r="F2" i="2"/>
  <c r="F18" i="4"/>
  <c r="F2" i="4"/>
  <c r="F4" i="5"/>
  <c r="R8" i="3"/>
  <c r="R6" i="3"/>
  <c r="R7" i="3"/>
  <c r="D35" i="3"/>
  <c r="R5" i="3"/>
  <c r="R9" i="3"/>
  <c r="E35" i="3"/>
  <c r="F35" i="3"/>
  <c r="F2" i="3"/>
  <c r="E11" i="5"/>
  <c r="E10" i="5"/>
  <c r="F9" i="5"/>
  <c r="D25" i="9"/>
  <c r="P4" i="8" l="1"/>
  <c r="P7" i="8" s="1"/>
  <c r="E41" i="8" s="1"/>
  <c r="P5" i="8"/>
  <c r="L33" i="9"/>
  <c r="O4" i="8"/>
  <c r="O3" i="8"/>
  <c r="X6" i="9"/>
  <c r="D47" i="12"/>
  <c r="D44" i="12"/>
  <c r="D45" i="12"/>
  <c r="D46" i="12"/>
  <c r="B10" i="12"/>
  <c r="F29" i="12"/>
  <c r="P29" i="12"/>
  <c r="P2" i="12"/>
  <c r="F48" i="12"/>
  <c r="E48" i="12"/>
  <c r="D21" i="12"/>
  <c r="D15" i="12"/>
  <c r="B5" i="12"/>
  <c r="D29" i="12"/>
  <c r="D36" i="12"/>
  <c r="F2" i="12"/>
  <c r="O3" i="11"/>
  <c r="O5" i="11"/>
  <c r="O6" i="11"/>
  <c r="K6" i="11"/>
  <c r="K3" i="11"/>
  <c r="K4" i="11"/>
  <c r="D6" i="11"/>
  <c r="D29" i="11"/>
  <c r="D22" i="11"/>
  <c r="D26" i="11"/>
  <c r="B14" i="11"/>
  <c r="M3" i="11"/>
  <c r="D38" i="11"/>
  <c r="E45" i="11"/>
  <c r="O5" i="10"/>
  <c r="D44" i="10"/>
  <c r="D6" i="10"/>
  <c r="J3" i="10"/>
  <c r="J6" i="10"/>
  <c r="J5" i="10"/>
  <c r="J4" i="10"/>
  <c r="O3" i="10"/>
  <c r="D29" i="10"/>
  <c r="M4" i="10"/>
  <c r="B22" i="10"/>
  <c r="D2" i="10"/>
  <c r="O4" i="10"/>
  <c r="M6" i="10"/>
  <c r="B36" i="10"/>
  <c r="B14" i="10"/>
  <c r="D21" i="7"/>
  <c r="K6" i="8"/>
  <c r="O6" i="7"/>
  <c r="O3" i="7"/>
  <c r="O5" i="7"/>
  <c r="D9" i="8"/>
  <c r="M6" i="8"/>
  <c r="M3" i="8"/>
  <c r="M4" i="8"/>
  <c r="M5" i="8"/>
  <c r="J11" i="9"/>
  <c r="L8" i="9"/>
  <c r="B12" i="8"/>
  <c r="M5" i="7"/>
  <c r="D29" i="7"/>
  <c r="M4" i="7"/>
  <c r="W6" i="9"/>
  <c r="B32" i="9"/>
  <c r="D32" i="9" s="1"/>
  <c r="W5" i="9"/>
  <c r="W3" i="9"/>
  <c r="D29" i="9"/>
  <c r="W4" i="9"/>
  <c r="K5" i="8"/>
  <c r="T13" i="9"/>
  <c r="T15" i="9"/>
  <c r="T16" i="9"/>
  <c r="L4" i="9"/>
  <c r="K3" i="8"/>
  <c r="L2" i="9"/>
  <c r="D5" i="8"/>
  <c r="B10" i="9"/>
  <c r="D10" i="9" s="1"/>
  <c r="B14" i="7"/>
  <c r="K5" i="7" s="1"/>
  <c r="N5" i="7"/>
  <c r="D37" i="7"/>
  <c r="N4" i="7"/>
  <c r="N6" i="7"/>
  <c r="B52" i="7"/>
  <c r="X4" i="9"/>
  <c r="X7" i="9" s="1"/>
  <c r="Y13" i="9"/>
  <c r="Y16" i="9"/>
  <c r="Y14" i="9"/>
  <c r="Y15" i="9"/>
  <c r="L37" i="9"/>
  <c r="J17" i="9"/>
  <c r="T14" i="9"/>
  <c r="T17" i="9" s="1"/>
  <c r="J24" i="9"/>
  <c r="L24" i="9" s="1"/>
  <c r="D27" i="8"/>
  <c r="N5" i="8"/>
  <c r="N4" i="8"/>
  <c r="N3" i="8"/>
  <c r="L22" i="9"/>
  <c r="O6" i="8"/>
  <c r="O7" i="8" s="1"/>
  <c r="E33" i="8" s="1"/>
  <c r="D41" i="8"/>
  <c r="B5" i="7"/>
  <c r="B2" i="9"/>
  <c r="B9" i="9"/>
  <c r="D9" i="7"/>
  <c r="B20" i="9"/>
  <c r="D20" i="9" s="1"/>
  <c r="D19" i="7"/>
  <c r="F41" i="8" l="1"/>
  <c r="N17" i="5"/>
  <c r="N16" i="5" s="1"/>
  <c r="W13" i="9"/>
  <c r="D48" i="12"/>
  <c r="D5" i="12"/>
  <c r="B44" i="12"/>
  <c r="B46" i="12"/>
  <c r="B47" i="12"/>
  <c r="B45" i="12"/>
  <c r="D10" i="12"/>
  <c r="C46" i="12"/>
  <c r="C45" i="12"/>
  <c r="C47" i="12"/>
  <c r="C44" i="12"/>
  <c r="G48" i="12"/>
  <c r="L6" i="10"/>
  <c r="L5" i="10"/>
  <c r="L4" i="10"/>
  <c r="M7" i="10"/>
  <c r="E29" i="10" s="1"/>
  <c r="F29" i="10" s="1"/>
  <c r="N6" i="10"/>
  <c r="N5" i="10"/>
  <c r="D36" i="10"/>
  <c r="N4" i="10"/>
  <c r="K3" i="10"/>
  <c r="K6" i="10"/>
  <c r="K4" i="10"/>
  <c r="L6" i="11"/>
  <c r="L5" i="11"/>
  <c r="L4" i="11"/>
  <c r="K7" i="11"/>
  <c r="E6" i="11" s="1"/>
  <c r="F6" i="11" s="1"/>
  <c r="L3" i="11"/>
  <c r="D14" i="11"/>
  <c r="M7" i="11"/>
  <c r="E22" i="11" s="1"/>
  <c r="F22" i="11" s="1"/>
  <c r="N7" i="11"/>
  <c r="E29" i="11" s="1"/>
  <c r="F29" i="11" s="1"/>
  <c r="O7" i="11"/>
  <c r="E38" i="11" s="1"/>
  <c r="F38" i="11" s="1"/>
  <c r="O7" i="10"/>
  <c r="E44" i="10" s="1"/>
  <c r="F44" i="10" s="1"/>
  <c r="L3" i="10"/>
  <c r="D22" i="10"/>
  <c r="J7" i="10"/>
  <c r="E6" i="10" s="1"/>
  <c r="F6" i="10" s="1"/>
  <c r="D14" i="10"/>
  <c r="K5" i="10"/>
  <c r="N3" i="10"/>
  <c r="M7" i="7"/>
  <c r="E29" i="7" s="1"/>
  <c r="O7" i="7"/>
  <c r="E45" i="7" s="1"/>
  <c r="N7" i="8"/>
  <c r="E27" i="8" s="1"/>
  <c r="L17" i="5" s="1"/>
  <c r="L16" i="5" s="1"/>
  <c r="M7" i="8"/>
  <c r="E19" i="8" s="1"/>
  <c r="F19" i="8"/>
  <c r="K17" i="5"/>
  <c r="K16" i="5" s="1"/>
  <c r="D52" i="7"/>
  <c r="P5" i="7"/>
  <c r="P6" i="7"/>
  <c r="P4" i="7"/>
  <c r="P3" i="7"/>
  <c r="D12" i="8"/>
  <c r="L4" i="8"/>
  <c r="L6" i="8"/>
  <c r="L3" i="8"/>
  <c r="L5" i="8"/>
  <c r="U16" i="9"/>
  <c r="U13" i="9"/>
  <c r="L11" i="9"/>
  <c r="U15" i="9"/>
  <c r="U14" i="9"/>
  <c r="K4" i="7"/>
  <c r="F29" i="7"/>
  <c r="D17" i="5"/>
  <c r="W7" i="9"/>
  <c r="K7" i="8"/>
  <c r="E5" i="8" s="1"/>
  <c r="K3" i="7"/>
  <c r="K6" i="7"/>
  <c r="D14" i="7"/>
  <c r="N7" i="7"/>
  <c r="E37" i="7" s="1"/>
  <c r="M37" i="9"/>
  <c r="N18" i="5" s="1"/>
  <c r="E32" i="9"/>
  <c r="W14" i="9"/>
  <c r="W16" i="9"/>
  <c r="W15" i="9"/>
  <c r="V16" i="9"/>
  <c r="L17" i="9"/>
  <c r="V13" i="9"/>
  <c r="V14" i="9"/>
  <c r="Y17" i="9"/>
  <c r="F33" i="8"/>
  <c r="M17" i="5"/>
  <c r="B5" i="9"/>
  <c r="D2" i="9"/>
  <c r="J6" i="7"/>
  <c r="D5" i="7"/>
  <c r="J3" i="7"/>
  <c r="J4" i="7"/>
  <c r="J5" i="7"/>
  <c r="D9" i="9"/>
  <c r="B13" i="9"/>
  <c r="D13" i="9" s="1"/>
  <c r="L5" i="7"/>
  <c r="L4" i="7"/>
  <c r="L3" i="7"/>
  <c r="L6" i="7"/>
  <c r="D22" i="7"/>
  <c r="W17" i="9" l="1"/>
  <c r="F27" i="8"/>
  <c r="P7" i="7"/>
  <c r="E52" i="7" s="1"/>
  <c r="F52" i="7" s="1"/>
  <c r="B48" i="12"/>
  <c r="C48" i="12"/>
  <c r="L7" i="11"/>
  <c r="E14" i="11" s="1"/>
  <c r="F14" i="11" s="1"/>
  <c r="F2" i="11" s="1"/>
  <c r="N7" i="10"/>
  <c r="E36" i="10" s="1"/>
  <c r="F36" i="10" s="1"/>
  <c r="K7" i="10"/>
  <c r="E14" i="10" s="1"/>
  <c r="F14" i="10" s="1"/>
  <c r="L7" i="10"/>
  <c r="E22" i="10" s="1"/>
  <c r="F22" i="10" s="1"/>
  <c r="F45" i="7"/>
  <c r="F17" i="5"/>
  <c r="F16" i="5" s="1"/>
  <c r="U17" i="9"/>
  <c r="K7" i="7"/>
  <c r="E14" i="7" s="1"/>
  <c r="B17" i="5" s="1"/>
  <c r="B16" i="5" s="1"/>
  <c r="L7" i="8"/>
  <c r="E12" i="8" s="1"/>
  <c r="E25" i="9"/>
  <c r="M29" i="9"/>
  <c r="M18" i="5" s="1"/>
  <c r="M16" i="5" s="1"/>
  <c r="F5" i="8"/>
  <c r="I17" i="5"/>
  <c r="F37" i="7"/>
  <c r="E17" i="5"/>
  <c r="E18" i="5"/>
  <c r="F32" i="9"/>
  <c r="J7" i="7"/>
  <c r="E5" i="7" s="1"/>
  <c r="T4" i="9"/>
  <c r="T3" i="9"/>
  <c r="D5" i="9"/>
  <c r="T6" i="9"/>
  <c r="T5" i="9"/>
  <c r="V15" i="9"/>
  <c r="V17" i="9" s="1"/>
  <c r="L7" i="7"/>
  <c r="E22" i="7" s="1"/>
  <c r="F14" i="7" l="1"/>
  <c r="F2" i="10"/>
  <c r="F12" i="8"/>
  <c r="F2" i="8" s="1"/>
  <c r="J17" i="5"/>
  <c r="F25" i="9"/>
  <c r="D18" i="5"/>
  <c r="D16" i="5" s="1"/>
  <c r="E16" i="5"/>
  <c r="T7" i="9"/>
  <c r="M4" i="9"/>
  <c r="M11" i="9"/>
  <c r="E5" i="9"/>
  <c r="A17" i="5"/>
  <c r="F5" i="7"/>
  <c r="F22" i="7"/>
  <c r="C17" i="5"/>
  <c r="C16" i="5" s="1"/>
  <c r="F2" i="7" l="1"/>
  <c r="A18" i="5"/>
  <c r="A16" i="5" s="1"/>
  <c r="G15" i="5" s="1"/>
  <c r="F5" i="9"/>
  <c r="F2" i="9" s="1"/>
  <c r="J18" i="5"/>
  <c r="J16" i="5" s="1"/>
  <c r="N11" i="9"/>
  <c r="I18" i="5"/>
  <c r="I16" i="5" s="1"/>
  <c r="N4" i="9"/>
  <c r="N2" i="9" s="1"/>
  <c r="O15" i="5" l="1"/>
  <c r="I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tc={048DD218-393A-4AD5-968E-6FB055C98BFC}</author>
    <author>tc={2E7764DA-5587-4B31-8CA8-03314B1AD733}</author>
    <author>tc={79436E82-2329-417C-93BF-913CC54B60B9}</author>
    <author>tc={B8C00CC6-9561-471A-8418-228EC3B2A655}</author>
    <author>tc={8336269A-3E16-4DCA-809F-D8012D883B9F}</author>
  </authors>
  <commentList>
    <comment ref="D7" authorId="0" shapeId="0" xr:uid="{048DD218-393A-4AD5-968E-6FB055C98BFC}">
      <text>
        <t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Dovoljan (2) 50 % 
Dobar (3) 62 % 
Vrlo dobar (4) 75 % 
Izvrstan (5) 88 %</t>
      </text>
    </comment>
    <comment ref="D13" authorId="1" shapeId="0" xr:uid="{2E7764DA-5587-4B31-8CA8-03314B1AD733}">
      <text>
        <t xml:space="preserve"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[87.5, 100] 5 
[75, 87.5) 4 
[62.5, 75) 3 
[50, 62.5) 2 </t>
      </text>
    </comment>
    <comment ref="D19" authorId="2" shapeId="0" xr:uid="{79436E82-2329-417C-93BF-913CC54B60B9}">
      <text>
        <t xml:space="preserve"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45 bodova………dovoljan (2) 
55 bodova………dobar (3) 
70 bodova………vrlo dobar (4) 
85 bodova………izvrstan (5) </t>
      </text>
    </comment>
    <comment ref="D25" authorId="3" shapeId="0" xr:uid="{B8C00CC6-9561-471A-8418-228EC3B2A655}">
      <text>
        <t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86 izvrstan
72 vrlo dobar
58 dobar
50 dovoljan</t>
      </text>
    </comment>
    <comment ref="D36" authorId="4" shapeId="0" xr:uid="{8336269A-3E16-4DCA-809F-D8012D883B9F}">
      <text>
        <t xml:space="preserve"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90 izvrstan
80 vrlo dobar
70 dobar
60 dovoljan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tc={8466538D-CB99-4685-8D00-C6B9C6699AC0}</author>
    <author>tc={2E7B1771-4A33-442B-BD13-A927A1CA313D}</author>
    <author>tc={40C51B75-82AA-4452-9884-5B9F3D50D7A2}</author>
    <author>tc={7026532A-443C-46BF-B9D8-05ADE320B1CB}</author>
    <author>tc={0C339E6C-19AE-4F2A-BA83-337FA80BEB9D}</author>
  </authors>
  <commentList>
    <comment ref="D7" authorId="0" shapeId="0" xr:uid="{8466538D-CB99-4685-8D00-C6B9C6699AC0}">
      <text>
        <t xml:space="preserve"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MI &amp; ZI 1/4 računskih zadataka mora biti u cijelosti točno riješen
85 izvrstan
70 vrlo dobar
60 dobar
50 dovoljan
</t>
      </text>
    </comment>
    <comment ref="D14" authorId="1" shapeId="0" xr:uid="{2E7B1771-4A33-442B-BD13-A927A1CA313D}">
      <text>
        <t xml:space="preserve"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90 izvrstan (5)
80 vrlo dobar (4)
65 dobar (3)
50 dovoljan (2)
</t>
      </text>
    </comment>
    <comment ref="D24" authorId="2" shapeId="0" xr:uid="{40C51B75-82AA-4452-9884-5B9F3D50D7A2}">
      <text>
        <t xml:space="preserve"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86 izvrstan (5)
74 vrlo dobar (4)
62 dobar (3)
50 dovoljan (2)
</t>
      </text>
    </comment>
    <comment ref="D30" authorId="3" shapeId="0" xr:uid="{7026532A-443C-46BF-B9D8-05ADE320B1CB}">
      <text>
        <t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86 izvrstan
72 vrlo dobar
58 dobar
50 dovoljan</t>
      </text>
    </comment>
    <comment ref="D35" authorId="4" shapeId="0" xr:uid="{0C339E6C-19AE-4F2A-BA83-337FA80BEB9D}">
      <text>
        <t xml:space="preserve"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35,5 izvrstan (5) 
30 vrlo dobar (4) 
24 dobar (3)
20 dovoljan (2)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tc={A5F34478-5398-4BCC-A171-3EC5A603648A}</author>
    <author>tc={55BCBB2E-F981-484A-9D59-8C35688D8F06}</author>
    <author>tc={5ACE5987-5963-4121-89A7-4BF8668CD5C2}</author>
    <author>tc={80D18C22-07BA-4DB2-8C57-67F087833AD5}</author>
    <author>tc={AB322D82-E6EF-4901-85CB-BFC0F82680DD}</author>
    <author>tc={000FE4A8-BE5A-455A-9A2D-474B3B7CA2CB}</author>
    <author>tc={8F7DB1F7-6D36-404B-B0EE-165270FC55E9}</author>
    <author>tc={E41F6399-D675-42CF-976D-6375BD38C856}</author>
    <author>tc={0EC45E67-E186-49D3-BFB8-E6550EFBE9C6}</author>
    <author>tc={D84C6AB1-FC10-46BA-90B0-FDB5AD3AE7A6}</author>
    <author>tc={BDAD792B-FD85-4720-A96F-70DCD1937719}</author>
    <author>tc={264C1108-BA91-4B7B-89C7-EF8F929F3770}</author>
    <author>tc={E8F8366C-8E71-4CA4-80A0-B8643DC05A7F}</author>
    <author>tc={5D102B51-940A-403B-92DA-CD3AC7DF9CA0}</author>
    <author>tc={95D195A9-CFFF-46ED-9054-E06FEB4E364F}</author>
    <author>tc={84CF1C41-9E85-442A-894C-1C4863E883C0}</author>
    <author>tc={9395C8E6-71C0-4E8E-853E-2037B18EE0D0}</author>
    <author>tc={649D91C9-9EDC-4FF1-879B-F3499CB13F28}</author>
  </authors>
  <commentList>
    <comment ref="D2" authorId="0" shapeId="0" xr:uid="{A5F34478-5398-4BCC-A171-3EC5A603648A}">
      <text>
        <t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LABOSI obavezni</t>
      </text>
    </comment>
    <comment ref="D4" authorId="1" shapeId="0" xr:uid="{55BCBB2E-F981-484A-9D59-8C35688D8F06}">
      <text>
        <t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20%</t>
      </text>
    </comment>
    <comment ref="E5" authorId="2" shapeId="0" xr:uid="{5ACE5987-5963-4121-89A7-4BF8668CD5C2}">
      <text>
        <t xml:space="preserve"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87 izvrstan
75 vrlo dobar
62 dobar
50 dovoljan
- obavezna odrada svih labosa
</t>
      </text>
    </comment>
    <comment ref="D9" authorId="3" shapeId="0" xr:uid="{80D18C22-07BA-4DB2-8C57-67F087833AD5}">
      <text>
        <t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Labosi obavezni</t>
      </text>
    </comment>
    <comment ref="E12" authorId="4" shapeId="0" xr:uid="{AB322D82-E6EF-4901-85CB-BFC0F82680DD}">
      <text>
        <t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Da bi student položio mora: -ostvariti najmanje 50% bodova na međuispitu i završnom ispitu -ostvariti najmanje 50% od ukupnog broja bodova</t>
      </text>
    </comment>
    <comment ref="E14" authorId="5" shapeId="0" xr:uid="{000FE4A8-BE5A-455A-9A2D-474B3B7CA2CB}">
      <text>
        <t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90 izvrstan
75 vrlo dobar
62 dobar
50 dovoljan</t>
      </text>
    </comment>
    <comment ref="D18" authorId="6" shapeId="0" xr:uid="{8F7DB1F7-6D36-404B-B0EE-165270FC55E9}">
      <text>
        <t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Labosi obavezni</t>
      </text>
    </comment>
    <comment ref="E22" authorId="7" shapeId="0" xr:uid="{E41F6399-D675-42CF-976D-6375BD38C856}">
      <text>
        <t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MI &amp; ZI 1/4 računskih zadataka mora biti u cijelosti točno riješen
85 izvrstan
70 vrlo dobar
60 dobar
50 dovoljan</t>
      </text>
    </comment>
    <comment ref="D26" authorId="8" shapeId="0" xr:uid="{0EC45E67-E186-49D3-BFB8-E6550EFBE9C6}">
      <text>
        <t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RIJEŠITI SVE DZ</t>
      </text>
    </comment>
    <comment ref="D29" authorId="9" shapeId="0" xr:uid="{D84C6AB1-FC10-46BA-90B0-FDB5AD3AE7A6}">
      <text>
        <t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86 izvrstan
72 vrlo dobar
58 dobar
50 dovoljan</t>
      </text>
    </comment>
    <comment ref="E29" authorId="10" shapeId="0" xr:uid="{BDAD792B-FD85-4720-A96F-70DCD1937719}">
      <text>
        <t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85 izvrstan
70 vrlo dobar
55 dobar
45 dovoljan</t>
      </text>
    </comment>
    <comment ref="D33" authorId="11" shapeId="0" xr:uid="{264C1108-BA91-4B7B-89C7-EF8F929F3770}">
      <text>
        <t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Labosi bavezni</t>
      </text>
    </comment>
    <comment ref="E34" authorId="12" shapeId="0" xr:uid="{E8F8366C-8E71-4CA4-80A0-B8643DC05A7F}">
      <text>
        <t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Uvjet za prolaz pismenih ispita je minimalno 16 bodova (40 %) ostvarenih sumarno na MI i ZIP</t>
      </text>
    </comment>
    <comment ref="E37" authorId="13" shapeId="0" xr:uid="{5D102B51-940A-403B-92DA-CD3AC7DF9CA0}">
      <text>
        <t xml:space="preserve"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89 izvrstan
76 vrlo dobar
63 dobar
50 dovoljan
</t>
      </text>
    </comment>
    <comment ref="D43" authorId="14" shapeId="0" xr:uid="{95D195A9-CFFF-46ED-9054-E06FEB4E364F}">
      <text>
        <t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Međuispit: Pismeni 33%</t>
      </text>
    </comment>
    <comment ref="D44" authorId="15" shapeId="0" xr:uid="{84CF1C41-9E85-442A-894C-1C4863E883C0}">
      <text>
        <t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Završni ispit: Pismeni 37.5 %</t>
      </text>
    </comment>
    <comment ref="E45" authorId="16" shapeId="0" xr:uid="{9395C8E6-71C0-4E8E-853E-2037B18EE0D0}">
      <text>
        <t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85 izvrstan
72 vrlo dobar
60 dobar
50 dovoljan</t>
      </text>
    </comment>
    <comment ref="D52" authorId="17" shapeId="0" xr:uid="{649D91C9-9EDC-4FF1-879B-F3499CB13F28}">
      <text>
        <t xml:space="preserve"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45 bodova………dovoljan (2) 
55 bodova………dobar (3) 
70 bodova………vrlo dobar (4) 
85 bodova………izvrstan (5) 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tc={2B565E65-B6B7-480B-B926-B037DD75D35E}</author>
    <author>tc={CB729B9F-BEE5-4CFA-A46F-217957B6A828}</author>
    <author>tc={7B4532CC-98DA-4AC3-A688-9F79983546AD}</author>
    <author>tc={D7B11D06-57C6-4E12-91FC-FCB0EA6C9758}</author>
    <author>tc={9D2E405E-0273-4503-B245-96FE7681891E}</author>
    <author>tc={CBB3F499-1903-4CAA-80DB-29B67F2D265D}</author>
    <author>tc={90E3B7C8-5982-4B11-8E98-38C2C7947433}</author>
    <author>tc={B43446FD-BE6E-480A-A42F-7288033FCF50}</author>
  </authors>
  <commentList>
    <comment ref="E5" authorId="0" shapeId="0" xr:uid="{2B565E65-B6B7-480B-B926-B037DD75D35E}">
      <text>
        <t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85 izvrstan
70 vrlo dobar
55 dobar
45 dovoljan</t>
      </text>
    </comment>
    <comment ref="D11" authorId="1" shapeId="0" xr:uid="{CB729B9F-BEE5-4CFA-A46F-217957B6A828}">
      <text>
        <t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Prag : 40%</t>
      </text>
    </comment>
    <comment ref="E12" authorId="2" shapeId="0" xr:uid="{7B4532CC-98DA-4AC3-A688-9F79983546AD}">
      <text>
        <t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87.5 izvrstan
75 vrlo dobar
62.5 dobar
50 dovoljan</t>
      </text>
    </comment>
    <comment ref="D16" authorId="3" shapeId="0" xr:uid="{D7B11D06-57C6-4E12-91FC-FCB0EA6C9758}">
      <text>
        <t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Prag: 3 boda</t>
      </text>
    </comment>
    <comment ref="E19" authorId="4" shapeId="0" xr:uid="{9D2E405E-0273-4503-B245-96FE7681891E}">
      <text>
        <t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90 izvrstan
80 vrlo dobar
65 dobar
50 dovoljan</t>
      </text>
    </comment>
    <comment ref="E27" authorId="5" shapeId="0" xr:uid="{CBB3F499-1903-4CAA-80DB-29B67F2D265D}">
      <text>
        <t xml:space="preserve"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85 izvrstan
70 vrlo dobar
55 dobar
45 dovoljan
</t>
      </text>
    </comment>
    <comment ref="E33" authorId="6" shapeId="0" xr:uid="{90E3B7C8-5982-4B11-8E98-38C2C7947433}">
      <text>
        <t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85 izvrstan
70 vrlo dobar
55 dobar
40 dovoljan</t>
      </text>
    </comment>
    <comment ref="E41" authorId="7" shapeId="0" xr:uid="{B43446FD-BE6E-480A-A42F-7288033FCF50}">
      <text>
        <t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85 izvrstan
72 vrlo dobar
60 dobar
50 dovoljan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tc={2F5DB799-5796-44A1-AE74-B2F1FA4C3393}</author>
    <author>tc={CD940560-83F7-4E1F-B7B4-88F49E7C73B6}</author>
    <author>tc={B33C6F00-4C00-485F-A1B4-B1896C50B2DA}</author>
    <author>tc={F39260A3-8D0C-4E74-ACB1-38D41488AD4F}</author>
    <author>tc={F8A4418E-A9E8-43C6-B71E-F0842403E68F}</author>
    <author>tc={F3B2B247-5FEA-4EB6-91CB-B33CE33277B5}</author>
    <author>tc={9A99B7CA-7840-423C-AA1D-C06FA44F2570}</author>
    <author>tc={1F1AB1A4-26E7-4930-913D-2D82EF7D7B6C}</author>
    <author>tc={429CEDDA-2359-44B3-886C-82F59BE16B6A}</author>
    <author>tc={5FAE3D5B-557A-44B3-87E7-52B90DD42001}</author>
    <author>tc={137BFF4C-318E-422B-8949-FDEE2EB704D8}</author>
    <author>tc={E228BA9D-6FF7-4D7A-91F3-A4B14AAF6C22}</author>
    <author>tc={28D18C6A-B560-426C-BC9F-2EA1681BD962}</author>
    <author>tc={98564231-1D1B-4A44-B441-1EAAB427B188}</author>
  </authors>
  <commentList>
    <comment ref="M4" authorId="0" shapeId="0" xr:uid="{2F5DB799-5796-44A1-AE74-B2F1FA4C3393}">
      <text>
        <t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85 izvrstan
70 vrlo dobar
55 dobar
45 dovoljan</t>
      </text>
    </comment>
    <comment ref="E5" authorId="1" shapeId="0" xr:uid="{CD940560-83F7-4E1F-B7B4-88F49E7C73B6}">
      <text>
        <t xml:space="preserve"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87 izvrstan
75 vrlo dobar
62 dobar
50 dovoljan
- obavezna odrada svih labosa
</t>
      </text>
    </comment>
    <comment ref="M11" authorId="2" shapeId="0" xr:uid="{B33C6F00-4C00-485F-A1B4-B1896C50B2DA}">
      <text>
        <t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87.5 izvrstan
75 vrlo dobar
62.5 dobar
50 dovoljan</t>
      </text>
    </comment>
    <comment ref="E13" authorId="3" shapeId="0" xr:uid="{F39260A3-8D0C-4E74-ACB1-38D41488AD4F}">
      <text>
        <t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90 izvrstan
75 vrlo dobar
62 dobar
50 dovoljan</t>
      </text>
    </comment>
    <comment ref="M17" authorId="4" shapeId="0" xr:uid="{F8A4418E-A9E8-43C6-B71E-F0842403E68F}">
      <text>
        <t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90 izvrstan
80 vrlo dobar
65 dobar
50 dovoljan</t>
      </text>
    </comment>
    <comment ref="E20" authorId="5" shapeId="0" xr:uid="{F3B2B247-5FEA-4EB6-91CB-B33CE33277B5}">
      <text>
        <t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MI &amp; ZI 1/4 računskih zadataka mora biti u cijelosti točno riješen
85 izvrstan
70 vrlo dobar
60 dobar
50 dovoljan</t>
      </text>
    </comment>
    <comment ref="M24" authorId="6" shapeId="0" xr:uid="{9A99B7CA-7840-423C-AA1D-C06FA44F2570}">
      <text>
        <t xml:space="preserve"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85 izvrstan
70 vrlo dobar
55 dobar
45 dovoljan
</t>
      </text>
    </comment>
    <comment ref="D25" authorId="7" shapeId="0" xr:uid="{1F1AB1A4-26E7-4930-913D-2D82EF7D7B6C}">
      <text>
        <t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86 izvrstan
72 vrlo dobar
58 dobar
50 dovoljan</t>
      </text>
    </comment>
    <comment ref="E25" authorId="8" shapeId="0" xr:uid="{429CEDDA-2359-44B3-886C-82F59BE16B6A}">
      <text>
        <t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85 izvrstan
70 vrlo dobar
55 dobar
45 dovoljan</t>
      </text>
    </comment>
    <comment ref="M29" authorId="9" shapeId="0" xr:uid="{5FAE3D5B-557A-44B3-87E7-52B90DD42001}">
      <text>
        <t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85 izvrstan
70 vrlo dobar
55 dobar
40 dovoljan</t>
      </text>
    </comment>
    <comment ref="D30" authorId="10" shapeId="0" xr:uid="{137BFF4C-318E-422B-8949-FDEE2EB704D8}">
      <text>
        <t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40%</t>
      </text>
    </comment>
    <comment ref="E32" authorId="11" shapeId="0" xr:uid="{E228BA9D-6FF7-4D7A-91F3-A4B14AAF6C22}">
      <text>
        <t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89 izvrstan
76 vrlo dobar
63 dobar
50 dovoljan</t>
      </text>
    </comment>
    <comment ref="M37" authorId="12" shapeId="0" xr:uid="{28D18C6A-B560-426C-BC9F-2EA1681BD962}">
      <text>
        <t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85 izvrstan
72 vrlo dobar
60 dobar
50 dovoljan</t>
      </text>
    </comment>
    <comment ref="E40" authorId="13" shapeId="0" xr:uid="{98564231-1D1B-4A44-B441-1EAAB427B188}">
      <text>
        <t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85 izvrstan
72 vrlo dobar
60 dobar
50 dovoljan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tc={3DB983B9-F039-4BD9-ABB2-3F2BB67776B0}</author>
    <author>tc={75DC3AE1-9F58-4FE4-9784-39C6EECE3C0A}</author>
    <author>tc={12EC326A-1902-4C1B-ABE9-E58E845AFF52}</author>
    <author>tc={440C242F-F128-4204-839E-404527C8EA39}</author>
    <author>tc={55602035-FFCF-4BAF-A5FA-87C5F1AD5E46}</author>
    <author>tc={8601FBFF-A54E-4A74-81B0-A1DC281E64E5}</author>
    <author>tc={C12ADAAC-1FA8-494B-AC3F-0A3CDFD61C0B}</author>
    <author>tc={A8252D0E-EBBF-4210-9905-502B5519C219}</author>
    <author>tc={5F410F48-9A6D-4780-9EC2-67B580065DC5}</author>
    <author>tc={D3D90BF8-8768-46BC-A823-B88B53D25ED8}</author>
    <author>tc={7E08F12A-B3BA-4D3B-9907-5CA6B26FE53C}</author>
  </authors>
  <commentList>
    <comment ref="D2" authorId="0" shapeId="0" xr:uid="{3DB983B9-F039-4BD9-ABB2-3F2BB67776B0}">
      <text>
        <t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LABOSI obavezni</t>
      </text>
    </comment>
    <comment ref="D5" authorId="1" shapeId="0" xr:uid="{75DC3AE1-9F58-4FE4-9784-39C6EECE3C0A}">
      <text>
        <t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8%</t>
      </text>
    </comment>
    <comment ref="E6" authorId="2" shapeId="0" xr:uid="{12EC326A-1902-4C1B-ABE9-E58E845AFF52}">
      <text>
        <t xml:space="preserve"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87 izvrstan
75 vrlo dobar
62 dobar
50 dovoljan
- obavezna odrada svih labosa
</t>
      </text>
    </comment>
    <comment ref="D9" authorId="3" shapeId="0" xr:uid="{440C242F-F128-4204-839E-404527C8EA39}">
      <text>
        <t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Labosi obavezni</t>
      </text>
    </comment>
    <comment ref="E14" authorId="4" shapeId="0" xr:uid="{55602035-FFCF-4BAF-A5FA-87C5F1AD5E46}">
      <text>
        <t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87 izvrstan
75 vrlo dobar
63 dobar
51 dovoljan</t>
      </text>
    </comment>
    <comment ref="D18" authorId="5" shapeId="0" xr:uid="{8601FBFF-A54E-4A74-81B0-A1DC281E64E5}">
      <text>
        <t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Labosi obavezni</t>
      </text>
    </comment>
    <comment ref="E22" authorId="6" shapeId="0" xr:uid="{C12ADAAC-1FA8-494B-AC3F-0A3CDFD61C0B}">
      <text>
        <t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90 izvrstan
80 vrlo dobar
65 dobar
50 dovoljan</t>
      </text>
    </comment>
    <comment ref="D29" authorId="7" shapeId="0" xr:uid="{A8252D0E-EBBF-4210-9905-502B5519C219}">
      <text>
        <t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86 izvrstan
72 vrlo dobar
58 dobar
50 dovoljan</t>
      </text>
    </comment>
    <comment ref="E29" authorId="8" shapeId="0" xr:uid="{5F410F48-9A6D-4780-9EC2-67B580065DC5}">
      <text>
        <t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85 izvrstan
70 vrlo dobar
55 dobar
45 dovoljan</t>
      </text>
    </comment>
    <comment ref="D43" authorId="9" shapeId="0" xr:uid="{D3D90BF8-8768-46BC-A823-B88B53D25ED8}">
      <text>
        <t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Završni ispit: Pismeni 37.5 %</t>
      </text>
    </comment>
    <comment ref="E44" authorId="10" shapeId="0" xr:uid="{7E08F12A-B3BA-4D3B-9907-5CA6B26FE53C}">
      <text>
        <t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85 izvrstan
75 vrlo dobar
60 dobar
50 dovoljan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tc={ACF02469-72D3-4EE5-B838-57CFCD250A00}</author>
    <author>tc={2767F866-1BC6-4E81-8928-B9396C04AAC6}</author>
    <author>tc={9E0530F7-6C9D-4830-AFFF-07EFC9BF76C7}</author>
    <author>tc={9F77C662-D6AA-4371-B30E-0A0F352A2CBA}</author>
    <author>tc={B2E4166F-FB3B-427A-B765-E3C019E74E2E}</author>
    <author>tc={34CE7489-F1ED-4E17-9B11-3821E1CB96FA}</author>
    <author>tc={3E77EE0F-A8FD-4544-94B8-D02BA15EB4B3}</author>
    <author>tc={63403CFD-0D5B-4FE4-A541-94FF8F7B63E0}</author>
    <author>tc={A47624F8-456F-4489-B9F7-987B5B638EF1}</author>
    <author>tc={17A843A1-75A8-401B-B6C5-46B69FA2BFEB}</author>
    <author>tc={045AD3D3-BF7A-4519-A644-1D2A136C675E}</author>
    <author>tc={8BC5D6B9-18A9-402F-9D71-2CD0738AA992}</author>
  </authors>
  <commentList>
    <comment ref="E6" authorId="0" shapeId="0" xr:uid="{ACF02469-72D3-4EE5-B838-57CFCD250A00}">
      <text>
        <t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85 izvrstan
70 vrlo dobar
55 dobar
45 dovoljan</t>
      </text>
    </comment>
    <comment ref="D9" authorId="1" shapeId="0" xr:uid="{2767F866-1BC6-4E81-8928-B9396C04AAC6}">
      <text>
        <t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Uvjet za pristup ispitima</t>
      </text>
    </comment>
    <comment ref="D10" authorId="2" shapeId="0" xr:uid="{9E0530F7-6C9D-4830-AFFF-07EFC9BF76C7}">
      <text>
        <t xml:space="preserve"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Uvjet za pristup ispitima
</t>
      </text>
    </comment>
    <comment ref="D12" authorId="3" shapeId="0" xr:uid="{9F77C662-D6AA-4371-B30E-0A0F352A2CBA}">
      <text>
        <t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Prvi dio gradiva</t>
      </text>
    </comment>
    <comment ref="D13" authorId="4" shapeId="0" xr:uid="{B2E4166F-FB3B-427A-B765-E3C019E74E2E}">
      <text>
        <t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Sve, s naglaskom na drugi dio gradiva</t>
      </text>
    </comment>
    <comment ref="E14" authorId="5" shapeId="0" xr:uid="{34CE7489-F1ED-4E17-9B11-3821E1CB96FA}">
      <text>
        <t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85 izvrstan
70 vrlo dobar
60 dobar
50 dovoljan</t>
      </text>
    </comment>
    <comment ref="D19" authorId="6" shapeId="0" xr:uid="{3E77EE0F-A8FD-4544-94B8-D02BA15EB4B3}">
      <text>
        <t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Prag: 2 boda
Samostalno u okviru dz</t>
      </text>
    </comment>
    <comment ref="E22" authorId="7" shapeId="0" xr:uid="{63403CFD-0D5B-4FE4-A541-94FF8F7B63E0}">
      <text>
        <t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88 izvrstan
75 vrlo dobar
63 dobar
50 dovoljan</t>
      </text>
    </comment>
    <comment ref="E29" authorId="8" shapeId="0" xr:uid="{A47624F8-456F-4489-B9F7-987B5B638EF1}">
      <text>
        <t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87,5 izvrstan
75 vrlo dobar
62,5 dobar
50 dovoljan</t>
      </text>
    </comment>
    <comment ref="E38" authorId="9" shapeId="0" xr:uid="{17A843A1-75A8-401B-B6C5-46B69FA2BFEB}">
      <text>
        <t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85 izvrstan
70 vrlo dobar
55 dobar
40 dovoljan</t>
      </text>
    </comment>
    <comment ref="D44" authorId="10" shapeId="0" xr:uid="{045AD3D3-BF7A-4519-A644-1D2A136C675E}">
      <text>
        <t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Završni ispit: Pismeni 37.5 %</t>
      </text>
    </comment>
    <comment ref="E45" authorId="11" shapeId="0" xr:uid="{8BC5D6B9-18A9-402F-9D71-2CD0738AA992}">
      <text>
        <t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85 izvrstan
75 vrlo dobar
60 dobar
50 dovoljan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tc={A4E10801-C902-4BFF-9A8D-2FE5879F76CE}</author>
    <author>tc={46A3E859-8745-4734-BA44-92129D03C9CB}</author>
    <author>tc={74A7C4CB-6A7A-4236-924B-274C43BB0D1C}</author>
    <author>tc={B34F2231-AFB7-4995-8349-2FA791C4AF0C}</author>
    <author>tc={2E812C45-FBEE-4C77-A989-1080F7F347ED}</author>
    <author>tc={69E711BC-8B2E-44C9-BFB6-A6BDFC235F30}</author>
    <author>tc={3DA5E5CE-04C7-4A04-95E6-9DE8C31FE75C}</author>
    <author>tc={DA85A33D-7B99-4E17-A32C-9E4906C61077}</author>
    <author>tc={D9CF852A-0375-4C38-AF91-8CAC596671FD}</author>
    <author>tc={6309D525-D827-482B-9A39-0646B9E2E206}</author>
    <author>tc={27D88512-BA59-4154-8CB4-12212F791AFF}</author>
    <author>tc={371499E3-78DB-492B-8E4B-EE7E23A8DBE5}</author>
    <author>tc={FD607AF2-A4D3-40BD-A5F3-790416A4E9BA}</author>
    <author>tc={F59C7529-6B14-4C97-BEEF-05676F3AF82F}</author>
    <author>tc={938FDBA0-7F5B-4BA9-ABE6-00F0A0CB672C}</author>
    <author>tc={5C4BB125-22E3-4A30-B20B-0BD872ABB933}</author>
    <author>tc={836540B6-D269-459F-A626-701017D20EBB}</author>
    <author>tc={AF9A24F3-02A7-47A7-913E-BE4D1F1E4713}</author>
    <author>tc={EEB20AF1-A055-4790-B6EC-38102446D910}</author>
    <author>tc={0C95786C-8ED9-49A6-AAF0-B47FD5840F1C}</author>
    <author>tc={AE146B34-74B0-4FEE-B5C7-B3B9E13BB3E3}</author>
    <author>tc={3F95E7A5-5892-45F3-B916-024E1F8230BB}</author>
    <author>tc={A5BB001A-0452-42AE-93CB-F3E7CE7B58B0}</author>
  </authors>
  <commentList>
    <comment ref="D2" authorId="0" shapeId="0" xr:uid="{A4E10801-C902-4BFF-9A8D-2FE5879F76CE}">
      <text>
        <t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LABOSI obavezni</t>
      </text>
    </comment>
    <comment ref="D3" authorId="1" shapeId="0" xr:uid="{46A3E859-8745-4734-BA44-92129D03C9CB}">
      <text>
        <t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20%</t>
      </text>
    </comment>
    <comment ref="E5" authorId="2" shapeId="0" xr:uid="{74A7C4CB-6A7A-4236-924B-274C43BB0D1C}">
      <text>
        <t xml:space="preserve"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87 izvrstan
75 vrlo dobar
62 dobar
50 dovoljan
- obavezna odrada svih labosa
</t>
      </text>
    </comment>
    <comment ref="O6" authorId="3" shapeId="0" xr:uid="{B34F2231-AFB7-4995-8349-2FA791C4AF0C}">
      <text>
        <t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85 izvrstan
70 vrlo dobar
55 dobar
45 dovoljan</t>
      </text>
    </comment>
    <comment ref="D8" authorId="4" shapeId="0" xr:uid="{2E812C45-FBEE-4C77-A989-1080F7F347ED}">
      <text>
        <t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Labosi obavezni</t>
      </text>
    </comment>
    <comment ref="N9" authorId="5" shapeId="0" xr:uid="{69E711BC-8B2E-44C9-BFB6-A6BDFC235F30}">
      <text>
        <t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Uvjet za pristup ispitima</t>
      </text>
    </comment>
    <comment ref="E10" authorId="6" shapeId="0" xr:uid="{3DA5E5CE-04C7-4A04-95E6-9DE8C31FE75C}">
      <text>
        <t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87 izvrstan
75 vrlo dobar
63 dobar
51 dovoljan</t>
      </text>
    </comment>
    <comment ref="N10" authorId="7" shapeId="0" xr:uid="{DA85A33D-7B99-4E17-A32C-9E4906C61077}">
      <text>
        <t xml:space="preserve"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Uvjet za pristup ispitima
</t>
      </text>
    </comment>
    <comment ref="N12" authorId="8" shapeId="0" xr:uid="{D9CF852A-0375-4C38-AF91-8CAC596671FD}">
      <text>
        <t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Prvi dio gradiva</t>
      </text>
    </comment>
    <comment ref="N13" authorId="9" shapeId="0" xr:uid="{6309D525-D827-482B-9A39-0646B9E2E206}">
      <text>
        <t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Sve, s naglaskom na drugi dio gradiva</t>
      </text>
    </comment>
    <comment ref="D14" authorId="10" shapeId="0" xr:uid="{27D88512-BA59-4154-8CB4-12212F791AFF}">
      <text>
        <t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Labosi obavezni</t>
      </text>
    </comment>
    <comment ref="O14" authorId="11" shapeId="0" xr:uid="{371499E3-78DB-492B-8E4B-EE7E23A8DBE5}">
      <text>
        <t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85 izvrstan
70 vrlo dobar
60 dobar
50 dovoljan</t>
      </text>
    </comment>
    <comment ref="E17" authorId="12" shapeId="0" xr:uid="{FD607AF2-A4D3-40BD-A5F3-790416A4E9BA}">
      <text>
        <t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90 izvrstan
80 vrlo dobar
65 dobar
50 dovoljan</t>
      </text>
    </comment>
    <comment ref="N19" authorId="13" shapeId="0" xr:uid="{F59C7529-6B14-4C97-BEEF-05676F3AF82F}">
      <text>
        <t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Prag: 2 boda
Samostalno u okviru dz</t>
      </text>
    </comment>
    <comment ref="O22" authorId="14" shapeId="0" xr:uid="{938FDBA0-7F5B-4BA9-ABE6-00F0A0CB672C}">
      <text>
        <t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88 izvrstan
75 vrlo dobar
63 dobar
50 dovoljan</t>
      </text>
    </comment>
    <comment ref="D23" authorId="15" shapeId="0" xr:uid="{5C4BB125-22E3-4A30-B20B-0BD872ABB933}">
      <text>
        <t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86 izvrstan
72 vrlo dobar
58 dobar
50 dovoljan</t>
      </text>
    </comment>
    <comment ref="E23" authorId="16" shapeId="0" xr:uid="{836540B6-D269-459F-A626-701017D20EBB}">
      <text>
        <t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85 izvrstan
70 vrlo dobar
55 dobar
45 dovoljan</t>
      </text>
    </comment>
    <comment ref="O29" authorId="17" shapeId="0" xr:uid="{AF9A24F3-02A7-47A7-913E-BE4D1F1E4713}">
      <text>
        <t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87,5 izvrstan
75 vrlo dobar
62,5 dobar
50 dovoljan</t>
      </text>
    </comment>
    <comment ref="D35" authorId="18" shapeId="0" xr:uid="{EEB20AF1-A055-4790-B6EC-38102446D910}">
      <text>
        <t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Završni ispit: Pismeni 37.5 %</t>
      </text>
    </comment>
    <comment ref="E36" authorId="19" shapeId="0" xr:uid="{0C95786C-8ED9-49A6-AAF0-B47FD5840F1C}">
      <text>
        <t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85 izvrstan
75 vrlo dobar
60 dobar
50 dovoljan</t>
      </text>
    </comment>
    <comment ref="O38" authorId="20" shapeId="0" xr:uid="{AE146B34-74B0-4FEE-B5C7-B3B9E13BB3E3}">
      <text>
        <t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85 izvrstan
70 vrlo dobar
55 dobar
40 dovoljan</t>
      </text>
    </comment>
    <comment ref="N44" authorId="21" shapeId="0" xr:uid="{3F95E7A5-5892-45F3-B916-024E1F8230BB}">
      <text>
        <t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Završni ispit: Pismeni 37.5 %</t>
      </text>
    </comment>
    <comment ref="O45" authorId="22" shapeId="0" xr:uid="{A5BB001A-0452-42AE-93CB-F3E7CE7B58B0}">
      <text>
        <t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85 izvrstan
75 vrlo dobar
60 dobar
50 dovoljan</t>
      </text>
    </comment>
  </commentList>
</comments>
</file>

<file path=xl/sharedStrings.xml><?xml version="1.0" encoding="utf-8"?>
<sst xmlns="http://schemas.openxmlformats.org/spreadsheetml/2006/main" count="834" uniqueCount="110">
  <si>
    <t>DIGLOG</t>
  </si>
  <si>
    <t>Labos</t>
  </si>
  <si>
    <t>Zadace</t>
  </si>
  <si>
    <t>KPZ</t>
  </si>
  <si>
    <t>MI</t>
  </si>
  <si>
    <t>ZI</t>
  </si>
  <si>
    <t>Moji Bodovi</t>
  </si>
  <si>
    <t>Maximum</t>
  </si>
  <si>
    <t>UKUPNO</t>
  </si>
  <si>
    <t>UPRO</t>
  </si>
  <si>
    <t>LINALG</t>
  </si>
  <si>
    <t>Zadaće</t>
  </si>
  <si>
    <t>MATAN - ONE</t>
  </si>
  <si>
    <t>Postotak</t>
  </si>
  <si>
    <t>Ocjena:</t>
  </si>
  <si>
    <t>Racunanje ocjene</t>
  </si>
  <si>
    <t>MATAN</t>
  </si>
  <si>
    <t>zbroj</t>
  </si>
  <si>
    <t>Ispit</t>
  </si>
  <si>
    <t>Linearna</t>
  </si>
  <si>
    <t xml:space="preserve">Maximum </t>
  </si>
  <si>
    <t>Ukupno</t>
  </si>
  <si>
    <t>Matan1</t>
  </si>
  <si>
    <t>Ocjena</t>
  </si>
  <si>
    <t>VJEKOM &gt;:(</t>
  </si>
  <si>
    <t>Pripreme</t>
  </si>
  <si>
    <t>Projekt</t>
  </si>
  <si>
    <t>Sudjelovanje</t>
  </si>
  <si>
    <t>MI/ZI</t>
  </si>
  <si>
    <t>VJEKOM</t>
  </si>
  <si>
    <t xml:space="preserve">VJEKOM </t>
  </si>
  <si>
    <t>Bonus</t>
  </si>
  <si>
    <t>FIZIKA</t>
  </si>
  <si>
    <t>MI pismeni</t>
  </si>
  <si>
    <t>ZI pismeni</t>
  </si>
  <si>
    <t>ZI usmeni</t>
  </si>
  <si>
    <t>OOP</t>
  </si>
  <si>
    <t>OE</t>
  </si>
  <si>
    <t>Labosi</t>
  </si>
  <si>
    <t>DZ</t>
  </si>
  <si>
    <t>lil extra</t>
  </si>
  <si>
    <t>PITI</t>
  </si>
  <si>
    <t>OElektro</t>
  </si>
  <si>
    <t>MATAN#2</t>
  </si>
  <si>
    <t>FIZ</t>
  </si>
  <si>
    <t>MATAN2</t>
  </si>
  <si>
    <t>Matan2</t>
  </si>
  <si>
    <t xml:space="preserve">PITI </t>
  </si>
  <si>
    <t>Pismeni</t>
  </si>
  <si>
    <t>Usmeni</t>
  </si>
  <si>
    <t>ECTS</t>
  </si>
  <si>
    <t>TRENUTNO STANJE</t>
  </si>
  <si>
    <t>#1 SEMESTAR</t>
  </si>
  <si>
    <t>#2 SEMESTAR</t>
  </si>
  <si>
    <t>UKUPNO:</t>
  </si>
  <si>
    <t>stanje :</t>
  </si>
  <si>
    <t>&lt;-- link</t>
  </si>
  <si>
    <t>https://github.com/APapratt13/Academic_Weapon/tree/master</t>
  </si>
  <si>
    <t>EleKru</t>
  </si>
  <si>
    <t>Elektronika</t>
  </si>
  <si>
    <t>Max</t>
  </si>
  <si>
    <t>Moji bodovi</t>
  </si>
  <si>
    <t>elekru</t>
  </si>
  <si>
    <t>fiz2</t>
  </si>
  <si>
    <t>mue</t>
  </si>
  <si>
    <t>ele1</t>
  </si>
  <si>
    <t>inzeko</t>
  </si>
  <si>
    <t>prisutnost</t>
  </si>
  <si>
    <t>MATAN#3</t>
  </si>
  <si>
    <t>MuEle</t>
  </si>
  <si>
    <t>Inžeko</t>
  </si>
  <si>
    <t>ViS</t>
  </si>
  <si>
    <t>kpz</t>
  </si>
  <si>
    <t>Racunanje ocjena</t>
  </si>
  <si>
    <t>ASP</t>
  </si>
  <si>
    <t>VIS</t>
  </si>
  <si>
    <t>ARH</t>
  </si>
  <si>
    <t>DISMAT</t>
  </si>
  <si>
    <t>TINF</t>
  </si>
  <si>
    <t>DisMat</t>
  </si>
  <si>
    <t>3x</t>
  </si>
  <si>
    <t>#3_E SEMESTAR</t>
  </si>
  <si>
    <t>ELE1</t>
  </si>
  <si>
    <t>ELEKRU</t>
  </si>
  <si>
    <t>FIZ2</t>
  </si>
  <si>
    <t>MUELE</t>
  </si>
  <si>
    <t>INŽEKO</t>
  </si>
  <si>
    <t>#3_R SEMESTAR</t>
  </si>
  <si>
    <t>ELE2</t>
  </si>
  <si>
    <t>ZI: pismeni</t>
  </si>
  <si>
    <t>ZI: usmeni</t>
  </si>
  <si>
    <t>SIS</t>
  </si>
  <si>
    <t>sudjelovanje</t>
  </si>
  <si>
    <t>ele2</t>
  </si>
  <si>
    <t>sis</t>
  </si>
  <si>
    <t>arh1e</t>
  </si>
  <si>
    <t>vis</t>
  </si>
  <si>
    <t>ARH1_E</t>
  </si>
  <si>
    <t>VIS_E</t>
  </si>
  <si>
    <t>ELEEN</t>
  </si>
  <si>
    <t>Mnijenje</t>
  </si>
  <si>
    <t>eleen</t>
  </si>
  <si>
    <t>mnijenje</t>
  </si>
  <si>
    <t>KoMre</t>
  </si>
  <si>
    <t>BazP</t>
  </si>
  <si>
    <t>OpS</t>
  </si>
  <si>
    <t>RPPW</t>
  </si>
  <si>
    <t>UTR</t>
  </si>
  <si>
    <t>OS</t>
  </si>
  <si>
    <t>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</si>
</sst>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FFFF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11"/>
      <color rgb="FFFFFF00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b/>
      <sz val="11"/>
      <color theme="7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color theme="0" tint="-0.249977111117893"/>
      <name val="Calibri"/>
      <family val="2"/>
      <scheme val="minor"/>
    </font>
    <font>
      <u/>
      <sz val="11"/>
      <color theme="0"/>
      <name val="Calibri"/>
      <family val="2"/>
      <scheme val="minor"/>
    </font>
  </fonts>
  <fills count="10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9644"/>
        <bgColor indexed="64"/>
      </patternFill>
    </fill>
    <fill>
      <patternFill patternType="solid">
        <fgColor rgb="FF009E4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D67A00"/>
        <bgColor indexed="64"/>
      </patternFill>
    </fill>
    <fill>
      <patternFill patternType="solid">
        <fgColor rgb="FFF68D00"/>
        <bgColor indexed="64"/>
      </patternFill>
    </fill>
    <fill>
      <patternFill patternType="solid">
        <fgColor rgb="FFFFD49B"/>
        <bgColor indexed="64"/>
      </patternFill>
    </fill>
    <fill>
      <patternFill patternType="solid">
        <fgColor rgb="FFFFC27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A228C"/>
        <bgColor indexed="64"/>
      </patternFill>
    </fill>
    <fill>
      <patternFill patternType="solid">
        <fgColor rgb="FFD12FBE"/>
        <bgColor indexed="64"/>
      </patternFill>
    </fill>
    <fill>
      <patternFill patternType="solid">
        <fgColor rgb="FFF0BAEA"/>
        <bgColor indexed="64"/>
      </patternFill>
    </fill>
    <fill>
      <patternFill patternType="solid">
        <fgColor rgb="FFE894DE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4D4D4D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A500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99003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5AB8F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339A"/>
        <bgColor indexed="64"/>
      </patternFill>
    </fill>
    <fill>
      <patternFill patternType="solid">
        <fgColor rgb="FF6598FF"/>
        <bgColor indexed="64"/>
      </patternFill>
    </fill>
    <fill>
      <patternFill patternType="solid">
        <fgColor rgb="FF538CFF"/>
        <bgColor indexed="64"/>
      </patternFill>
    </fill>
    <fill>
      <patternFill patternType="solid">
        <fgColor rgb="FF0156FF"/>
        <bgColor indexed="64"/>
      </patternFill>
    </fill>
    <fill>
      <patternFill patternType="solid">
        <fgColor rgb="FFFFCD2D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7EBA5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B6E0FC"/>
        <bgColor indexed="64"/>
      </patternFill>
    </fill>
    <fill>
      <patternFill patternType="solid">
        <fgColor rgb="FF96D3FC"/>
        <bgColor indexed="64"/>
      </patternFill>
    </fill>
    <fill>
      <patternFill patternType="solid">
        <fgColor rgb="FF1DA4FF"/>
        <bgColor indexed="64"/>
      </patternFill>
    </fill>
    <fill>
      <patternFill patternType="solid">
        <fgColor rgb="FF43B3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93FFE3"/>
        <bgColor indexed="64"/>
      </patternFill>
    </fill>
    <fill>
      <patternFill patternType="solid">
        <fgColor rgb="FF71FFDA"/>
        <bgColor indexed="64"/>
      </patternFill>
    </fill>
    <fill>
      <patternFill patternType="solid">
        <fgColor rgb="FF00E6AA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893BC3"/>
        <bgColor indexed="64"/>
      </patternFill>
    </fill>
    <fill>
      <patternFill patternType="solid">
        <fgColor rgb="FFA86ED4"/>
        <bgColor indexed="64"/>
      </patternFill>
    </fill>
    <fill>
      <patternFill patternType="solid">
        <fgColor rgb="FFC39BE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FF7D7D"/>
        <bgColor indexed="64"/>
      </patternFill>
    </fill>
    <fill>
      <patternFill patternType="solid">
        <fgColor rgb="FF819FFF"/>
        <bgColor indexed="64"/>
      </patternFill>
    </fill>
    <fill>
      <patternFill patternType="solid">
        <fgColor rgb="FF0097FE"/>
        <bgColor indexed="64"/>
      </patternFill>
    </fill>
    <fill>
      <patternFill patternType="solid">
        <fgColor rgb="FF3FADF7"/>
        <bgColor indexed="64"/>
      </patternFill>
    </fill>
    <fill>
      <patternFill patternType="solid">
        <fgColor rgb="FF9FD6FB"/>
        <bgColor indexed="64"/>
      </patternFill>
    </fill>
    <fill>
      <patternFill patternType="solid">
        <fgColor rgb="FFBFE4FD"/>
        <bgColor indexed="64"/>
      </patternFill>
    </fill>
    <fill>
      <patternFill patternType="solid">
        <fgColor rgb="FFEF07AD"/>
        <bgColor indexed="64"/>
      </patternFill>
    </fill>
    <fill>
      <patternFill patternType="solid">
        <fgColor rgb="FFFA54CB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B7FF"/>
        <bgColor indexed="64"/>
      </patternFill>
    </fill>
    <fill>
      <patternFill patternType="solid">
        <fgColor rgb="FF2CC83B"/>
        <bgColor indexed="64"/>
      </patternFill>
    </fill>
    <fill>
      <patternFill patternType="solid">
        <fgColor rgb="FF53D960"/>
        <bgColor indexed="64"/>
      </patternFill>
    </fill>
    <fill>
      <patternFill patternType="solid">
        <fgColor rgb="FFBAF0BF"/>
        <bgColor indexed="64"/>
      </patternFill>
    </fill>
    <fill>
      <patternFill patternType="solid">
        <fgColor rgb="FF94E89C"/>
        <bgColor indexed="64"/>
      </patternFill>
    </fill>
    <fill>
      <patternFill patternType="solid">
        <fgColor rgb="FF873AC0"/>
        <bgColor indexed="64"/>
      </patternFill>
    </fill>
    <fill>
      <patternFill patternType="solid">
        <fgColor rgb="FFBA8CDC"/>
        <bgColor indexed="64"/>
      </patternFill>
    </fill>
    <fill>
      <patternFill patternType="solid">
        <fgColor rgb="FFB17ED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F3"/>
        <bgColor indexed="64"/>
      </patternFill>
    </fill>
    <fill>
      <patternFill patternType="solid">
        <fgColor rgb="FF00DBD6"/>
        <bgColor indexed="64"/>
      </patternFill>
    </fill>
    <fill>
      <patternFill patternType="solid">
        <fgColor rgb="FF2FFFFA"/>
        <bgColor indexed="64"/>
      </patternFill>
    </fill>
    <fill>
      <patternFill patternType="solid">
        <fgColor rgb="FFA7FFFD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6165"/>
        <bgColor indexed="64"/>
      </patternFill>
    </fill>
    <fill>
      <patternFill patternType="solid">
        <fgColor rgb="FFFF8F8F"/>
        <bgColor indexed="64"/>
      </patternFill>
    </fill>
    <fill>
      <patternFill patternType="solid">
        <fgColor rgb="FFA0EAA7"/>
        <bgColor indexed="64"/>
      </patternFill>
    </fill>
    <fill>
      <patternFill patternType="solid">
        <fgColor rgb="FFC0F2C5"/>
        <bgColor indexed="64"/>
      </patternFill>
    </fill>
  </fills>
  <borders count="1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rgb="FFFFFF00"/>
      </left>
      <right style="medium">
        <color rgb="FFFFFF00"/>
      </right>
      <top style="medium">
        <color rgb="FFFFFF00"/>
      </top>
      <bottom style="medium">
        <color rgb="FFFFFF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FFFF00"/>
      </left>
      <right style="medium">
        <color rgb="FFFFFF00"/>
      </right>
      <top style="medium">
        <color rgb="FFFFFF00"/>
      </top>
      <bottom style="medium">
        <color rgb="FFFFFF00"/>
      </bottom>
      <diagonal/>
    </border>
    <border>
      <left style="medium">
        <color rgb="FFFFFF00"/>
      </left>
      <right/>
      <top style="medium">
        <color rgb="FFFFFF00"/>
      </top>
      <bottom style="medium">
        <color rgb="FFFFFF00"/>
      </bottom>
      <diagonal/>
    </border>
    <border>
      <left style="thin">
        <color rgb="FFFFFF00"/>
      </left>
      <right/>
      <top style="medium">
        <color rgb="FFFFFF00"/>
      </top>
      <bottom style="medium">
        <color rgb="FFFFFF00"/>
      </bottom>
      <diagonal/>
    </border>
    <border>
      <left style="medium">
        <color rgb="FFFFFF00"/>
      </left>
      <right style="medium">
        <color rgb="FFFFFF00"/>
      </right>
      <top style="thin">
        <color rgb="FFFFFF00"/>
      </top>
      <bottom style="medium">
        <color rgb="FFFFFF00"/>
      </bottom>
      <diagonal/>
    </border>
    <border>
      <left style="medium">
        <color rgb="FFFFFF00"/>
      </left>
      <right style="medium">
        <color rgb="FFFFFF00"/>
      </right>
      <top style="medium">
        <color rgb="FFFFFF00"/>
      </top>
      <bottom/>
      <diagonal/>
    </border>
    <border>
      <left style="medium">
        <color rgb="FFFFFF00"/>
      </left>
      <right style="medium">
        <color rgb="FFFFFF00"/>
      </right>
      <top style="thin">
        <color rgb="FFFFFF00"/>
      </top>
      <bottom/>
      <diagonal/>
    </border>
    <border>
      <left style="medium">
        <color rgb="FFFFFF00"/>
      </left>
      <right style="medium">
        <color rgb="FFFFFF00"/>
      </right>
      <top style="thin">
        <color rgb="FFFFFF00"/>
      </top>
      <bottom style="thin">
        <color rgb="FFFFFF00"/>
      </bottom>
      <diagonal/>
    </border>
    <border>
      <left style="medium">
        <color rgb="FFFFFF00"/>
      </left>
      <right style="medium">
        <color rgb="FFFFFF00"/>
      </right>
      <top/>
      <bottom style="medium">
        <color rgb="FFFFFF00"/>
      </bottom>
      <diagonal/>
    </border>
    <border>
      <left style="medium">
        <color rgb="FFFFFF00"/>
      </left>
      <right style="medium">
        <color rgb="FFFFFF00"/>
      </right>
      <top style="medium">
        <color rgb="FFFFFF00"/>
      </top>
      <bottom style="thin">
        <color rgb="FFFFFF00"/>
      </bottom>
      <diagonal/>
    </border>
    <border>
      <left style="medium">
        <color rgb="FFFFFF00"/>
      </left>
      <right style="thin">
        <color rgb="FFFFFF00"/>
      </right>
      <top/>
      <bottom style="medium">
        <color rgb="FFFFFF00"/>
      </bottom>
      <diagonal/>
    </border>
    <border>
      <left style="thin">
        <color rgb="FFFFFF00"/>
      </left>
      <right style="thin">
        <color rgb="FFFFFF00"/>
      </right>
      <top/>
      <bottom style="medium">
        <color rgb="FFFFFF00"/>
      </bottom>
      <diagonal/>
    </border>
    <border>
      <left/>
      <right style="medium">
        <color rgb="FFFFFF00"/>
      </right>
      <top/>
      <bottom style="medium">
        <color rgb="FFFFFF00"/>
      </bottom>
      <diagonal/>
    </border>
    <border>
      <left style="medium">
        <color rgb="FFFFFF00"/>
      </left>
      <right style="thin">
        <color rgb="FFFFFF00"/>
      </right>
      <top style="medium">
        <color rgb="FFFFFF00"/>
      </top>
      <bottom style="thin">
        <color rgb="FFFFFF00"/>
      </bottom>
      <diagonal/>
    </border>
    <border>
      <left style="thin">
        <color rgb="FFFFFF00"/>
      </left>
      <right style="thin">
        <color rgb="FFFFFF00"/>
      </right>
      <top style="medium">
        <color rgb="FFFFFF00"/>
      </top>
      <bottom style="thin">
        <color rgb="FFFFFF00"/>
      </bottom>
      <diagonal/>
    </border>
    <border>
      <left/>
      <right style="medium">
        <color rgb="FFFFFF00"/>
      </right>
      <top style="medium">
        <color rgb="FFFFFF00"/>
      </top>
      <bottom style="thin">
        <color rgb="FFFFFF00"/>
      </bottom>
      <diagonal/>
    </border>
    <border>
      <left style="medium">
        <color rgb="FFFFFF00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/>
      <right style="medium">
        <color rgb="FFFFFF00"/>
      </right>
      <top style="thin">
        <color rgb="FFFFFF00"/>
      </top>
      <bottom style="thin">
        <color rgb="FFFFFF00"/>
      </bottom>
      <diagonal/>
    </border>
    <border>
      <left style="medium">
        <color rgb="FFFFFF00"/>
      </left>
      <right/>
      <top/>
      <bottom/>
      <diagonal/>
    </border>
    <border>
      <left style="medium">
        <color rgb="FFFFFF00"/>
      </left>
      <right style="thin">
        <color rgb="FFFFFF00"/>
      </right>
      <top/>
      <bottom/>
      <diagonal/>
    </border>
    <border>
      <left style="thin">
        <color rgb="FFFFFF00"/>
      </left>
      <right style="thin">
        <color rgb="FFFFFF00"/>
      </right>
      <top/>
      <bottom/>
      <diagonal/>
    </border>
    <border>
      <left/>
      <right style="medium">
        <color rgb="FFFFFF00"/>
      </right>
      <top/>
      <bottom/>
      <diagonal/>
    </border>
    <border>
      <left/>
      <right/>
      <top style="thin">
        <color rgb="FFFFFF00"/>
      </top>
      <bottom style="thin">
        <color rgb="FFFFFF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medium">
        <color rgb="FFFFFF00"/>
      </left>
      <right style="thin">
        <color rgb="FFFFFF00"/>
      </right>
      <top style="medium">
        <color rgb="FFFFFF00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indexed="64"/>
      </bottom>
      <diagonal/>
    </border>
  </borders>
  <cellStyleXfs count="3">
    <xf numFmtId="0" fontId="0" fillId="0" borderId="0"/>
    <xf numFmtId="9" fontId="7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807">
    <xf numFmtId="0" fontId="0" fillId="0" borderId="0" xfId="0"/>
    <xf numFmtId="0" fontId="1" fillId="2" borderId="15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7" borderId="15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0" fontId="0" fillId="8" borderId="7" xfId="0" applyNumberFormat="1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0" fontId="0" fillId="9" borderId="7" xfId="0" applyNumberFormat="1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10" fontId="0" fillId="9" borderId="5" xfId="0" applyNumberFormat="1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10" fontId="0" fillId="10" borderId="7" xfId="0" applyNumberFormat="1" applyFill="1" applyBorder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10" fontId="0" fillId="5" borderId="5" xfId="0" applyNumberFormat="1" applyFill="1" applyBorder="1" applyAlignment="1">
      <alignment horizontal="center" vertical="center"/>
    </xf>
    <xf numFmtId="0" fontId="1" fillId="11" borderId="15" xfId="0" applyFont="1" applyFill="1" applyBorder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1" fillId="11" borderId="1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0" fillId="5" borderId="0" xfId="0" applyFill="1"/>
    <xf numFmtId="9" fontId="0" fillId="5" borderId="0" xfId="0" applyNumberFormat="1" applyFill="1"/>
    <xf numFmtId="0" fontId="0" fillId="12" borderId="3" xfId="0" applyFill="1" applyBorder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10" fontId="0" fillId="12" borderId="5" xfId="0" applyNumberFormat="1" applyFill="1" applyBorder="1" applyAlignment="1">
      <alignment horizontal="center" vertical="center"/>
    </xf>
    <xf numFmtId="0" fontId="0" fillId="12" borderId="6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3" borderId="6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10" fontId="0" fillId="13" borderId="7" xfId="0" applyNumberFormat="1" applyFill="1" applyBorder="1" applyAlignment="1">
      <alignment horizontal="center" vertical="center"/>
    </xf>
    <xf numFmtId="0" fontId="0" fillId="13" borderId="8" xfId="0" applyFill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0" fontId="1" fillId="14" borderId="2" xfId="0" applyFont="1" applyFill="1" applyBorder="1" applyAlignment="1">
      <alignment horizontal="center" vertical="center"/>
    </xf>
    <xf numFmtId="0" fontId="1" fillId="14" borderId="14" xfId="0" applyFont="1" applyFill="1" applyBorder="1" applyAlignment="1">
      <alignment horizontal="center" vertical="center"/>
    </xf>
    <xf numFmtId="0" fontId="1" fillId="14" borderId="12" xfId="0" applyFont="1" applyFill="1" applyBorder="1" applyAlignment="1">
      <alignment horizontal="center" vertical="center"/>
    </xf>
    <xf numFmtId="0" fontId="1" fillId="14" borderId="13" xfId="0" applyFont="1" applyFill="1" applyBorder="1" applyAlignment="1">
      <alignment horizontal="center" vertical="center"/>
    </xf>
    <xf numFmtId="0" fontId="1" fillId="15" borderId="15" xfId="0" applyFont="1" applyFill="1" applyBorder="1" applyAlignment="1">
      <alignment horizontal="center" vertical="center"/>
    </xf>
    <xf numFmtId="0" fontId="1" fillId="15" borderId="10" xfId="0" applyFont="1" applyFill="1" applyBorder="1" applyAlignment="1">
      <alignment horizontal="center" vertical="center"/>
    </xf>
    <xf numFmtId="0" fontId="1" fillId="15" borderId="11" xfId="0" applyFont="1" applyFill="1" applyBorder="1" applyAlignment="1">
      <alignment horizontal="center" vertical="center"/>
    </xf>
    <xf numFmtId="0" fontId="0" fillId="16" borderId="3" xfId="0" applyFill="1" applyBorder="1" applyAlignment="1">
      <alignment horizontal="center" vertical="center"/>
    </xf>
    <xf numFmtId="0" fontId="0" fillId="16" borderId="4" xfId="0" applyFill="1" applyBorder="1" applyAlignment="1">
      <alignment horizontal="center" vertical="center"/>
    </xf>
    <xf numFmtId="10" fontId="0" fillId="16" borderId="5" xfId="0" applyNumberFormat="1" applyFill="1" applyBorder="1" applyAlignment="1">
      <alignment horizontal="center" vertical="center"/>
    </xf>
    <xf numFmtId="0" fontId="0" fillId="16" borderId="6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7" borderId="6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10" fontId="0" fillId="17" borderId="7" xfId="0" applyNumberFormat="1" applyFill="1" applyBorder="1" applyAlignment="1">
      <alignment horizontal="center" vertical="center"/>
    </xf>
    <xf numFmtId="0" fontId="0" fillId="17" borderId="8" xfId="0" applyFill="1" applyBorder="1" applyAlignment="1">
      <alignment horizontal="center" vertical="center"/>
    </xf>
    <xf numFmtId="0" fontId="0" fillId="17" borderId="9" xfId="0" applyFill="1" applyBorder="1" applyAlignment="1">
      <alignment horizontal="center" vertical="center"/>
    </xf>
    <xf numFmtId="10" fontId="0" fillId="16" borderId="16" xfId="0" applyNumberFormat="1" applyFill="1" applyBorder="1" applyAlignment="1">
      <alignment horizontal="center" vertical="center"/>
    </xf>
    <xf numFmtId="10" fontId="0" fillId="17" borderId="17" xfId="0" applyNumberFormat="1" applyFill="1" applyBorder="1" applyAlignment="1">
      <alignment horizontal="center" vertical="center"/>
    </xf>
    <xf numFmtId="10" fontId="0" fillId="12" borderId="16" xfId="0" applyNumberFormat="1" applyFill="1" applyBorder="1" applyAlignment="1">
      <alignment horizontal="center" vertical="center"/>
    </xf>
    <xf numFmtId="10" fontId="0" fillId="13" borderId="17" xfId="0" applyNumberFormat="1" applyFill="1" applyBorder="1" applyAlignment="1">
      <alignment horizontal="center" vertical="center"/>
    </xf>
    <xf numFmtId="10" fontId="0" fillId="5" borderId="16" xfId="0" applyNumberFormat="1" applyFill="1" applyBorder="1" applyAlignment="1">
      <alignment horizontal="center" vertical="center"/>
    </xf>
    <xf numFmtId="10" fontId="0" fillId="10" borderId="17" xfId="0" applyNumberFormat="1" applyFill="1" applyBorder="1" applyAlignment="1">
      <alignment horizontal="center" vertical="center"/>
    </xf>
    <xf numFmtId="10" fontId="0" fillId="9" borderId="16" xfId="0" applyNumberFormat="1" applyFill="1" applyBorder="1" applyAlignment="1">
      <alignment horizontal="center" vertical="center"/>
    </xf>
    <xf numFmtId="10" fontId="0" fillId="8" borderId="17" xfId="0" applyNumberFormat="1" applyFill="1" applyBorder="1" applyAlignment="1">
      <alignment horizontal="center" vertical="center"/>
    </xf>
    <xf numFmtId="9" fontId="1" fillId="6" borderId="18" xfId="0" applyNumberFormat="1" applyFont="1" applyFill="1" applyBorder="1"/>
    <xf numFmtId="9" fontId="1" fillId="3" borderId="18" xfId="0" applyNumberFormat="1" applyFont="1" applyFill="1" applyBorder="1"/>
    <xf numFmtId="0" fontId="1" fillId="4" borderId="18" xfId="0" applyFont="1" applyFill="1" applyBorder="1"/>
    <xf numFmtId="0" fontId="1" fillId="14" borderId="18" xfId="0" applyFont="1" applyFill="1" applyBorder="1"/>
    <xf numFmtId="0" fontId="0" fillId="8" borderId="19" xfId="0" applyFill="1" applyBorder="1"/>
    <xf numFmtId="0" fontId="0" fillId="10" borderId="19" xfId="0" applyFill="1" applyBorder="1"/>
    <xf numFmtId="0" fontId="0" fillId="13" borderId="19" xfId="0" applyFill="1" applyBorder="1"/>
    <xf numFmtId="0" fontId="0" fillId="17" borderId="19" xfId="0" applyFill="1" applyBorder="1"/>
    <xf numFmtId="0" fontId="2" fillId="5" borderId="0" xfId="0" applyFont="1" applyFill="1"/>
    <xf numFmtId="0" fontId="3" fillId="5" borderId="0" xfId="0" applyFont="1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0" fillId="12" borderId="20" xfId="0" applyFill="1" applyBorder="1" applyAlignment="1">
      <alignment horizontal="center" vertical="center"/>
    </xf>
    <xf numFmtId="0" fontId="0" fillId="12" borderId="21" xfId="0" applyFill="1" applyBorder="1" applyAlignment="1">
      <alignment horizontal="center" vertical="center"/>
    </xf>
    <xf numFmtId="0" fontId="1" fillId="14" borderId="23" xfId="0" applyFont="1" applyFill="1" applyBorder="1" applyAlignment="1">
      <alignment horizontal="center" vertical="center"/>
    </xf>
    <xf numFmtId="0" fontId="1" fillId="14" borderId="21" xfId="0" applyFont="1" applyFill="1" applyBorder="1" applyAlignment="1">
      <alignment horizontal="center" vertical="center"/>
    </xf>
    <xf numFmtId="0" fontId="1" fillId="15" borderId="22" xfId="0" applyFont="1" applyFill="1" applyBorder="1" applyAlignment="1">
      <alignment horizontal="center" vertical="center"/>
    </xf>
    <xf numFmtId="0" fontId="0" fillId="16" borderId="20" xfId="0" applyFill="1" applyBorder="1" applyAlignment="1">
      <alignment horizontal="center" vertical="center"/>
    </xf>
    <xf numFmtId="0" fontId="0" fillId="16" borderId="21" xfId="0" applyFill="1" applyBorder="1" applyAlignment="1">
      <alignment horizontal="center" vertical="center"/>
    </xf>
    <xf numFmtId="0" fontId="1" fillId="4" borderId="24" xfId="0" applyFont="1" applyFill="1" applyBorder="1" applyAlignment="1">
      <alignment horizontal="center" vertical="center"/>
    </xf>
    <xf numFmtId="0" fontId="1" fillId="14" borderId="25" xfId="0" applyFont="1" applyFill="1" applyBorder="1" applyAlignment="1">
      <alignment horizontal="center" vertical="center"/>
    </xf>
    <xf numFmtId="0" fontId="1" fillId="18" borderId="18" xfId="0" applyFont="1" applyFill="1" applyBorder="1"/>
    <xf numFmtId="0" fontId="0" fillId="5" borderId="19" xfId="0" applyFill="1" applyBorder="1"/>
    <xf numFmtId="0" fontId="1" fillId="3" borderId="18" xfId="0" applyFont="1" applyFill="1" applyBorder="1"/>
    <xf numFmtId="0" fontId="0" fillId="16" borderId="19" xfId="0" applyFill="1" applyBorder="1"/>
    <xf numFmtId="0" fontId="0" fillId="12" borderId="19" xfId="0" applyFill="1" applyBorder="1"/>
    <xf numFmtId="0" fontId="0" fillId="9" borderId="19" xfId="0" applyFill="1" applyBorder="1"/>
    <xf numFmtId="10" fontId="0" fillId="8" borderId="16" xfId="0" applyNumberFormat="1" applyFill="1" applyBorder="1" applyAlignment="1">
      <alignment horizontal="center" vertical="center"/>
    </xf>
    <xf numFmtId="10" fontId="0" fillId="9" borderId="17" xfId="0" applyNumberFormat="1" applyFill="1" applyBorder="1" applyAlignment="1">
      <alignment horizontal="center" vertical="center"/>
    </xf>
    <xf numFmtId="10" fontId="0" fillId="10" borderId="16" xfId="0" applyNumberFormat="1" applyFill="1" applyBorder="1" applyAlignment="1">
      <alignment horizontal="center" vertical="center"/>
    </xf>
    <xf numFmtId="10" fontId="0" fillId="5" borderId="17" xfId="0" applyNumberFormat="1" applyFill="1" applyBorder="1" applyAlignment="1">
      <alignment horizontal="center" vertical="center"/>
    </xf>
    <xf numFmtId="10" fontId="0" fillId="12" borderId="25" xfId="0" applyNumberFormat="1" applyFill="1" applyBorder="1" applyAlignment="1">
      <alignment horizontal="center" vertical="center"/>
    </xf>
    <xf numFmtId="10" fontId="0" fillId="16" borderId="25" xfId="0" applyNumberFormat="1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22" borderId="9" xfId="0" applyFill="1" applyBorder="1" applyAlignment="1">
      <alignment horizontal="center" vertical="center"/>
    </xf>
    <xf numFmtId="0" fontId="1" fillId="20" borderId="10" xfId="0" applyFont="1" applyFill="1" applyBorder="1" applyAlignment="1">
      <alignment horizontal="center" vertical="center"/>
    </xf>
    <xf numFmtId="0" fontId="1" fillId="20" borderId="11" xfId="0" applyFont="1" applyFill="1" applyBorder="1" applyAlignment="1">
      <alignment horizontal="center" vertical="center"/>
    </xf>
    <xf numFmtId="0" fontId="1" fillId="19" borderId="12" xfId="0" applyFont="1" applyFill="1" applyBorder="1" applyAlignment="1">
      <alignment horizontal="center" vertical="center"/>
    </xf>
    <xf numFmtId="0" fontId="1" fillId="19" borderId="13" xfId="0" applyFont="1" applyFill="1" applyBorder="1" applyAlignment="1">
      <alignment horizontal="center" vertical="center"/>
    </xf>
    <xf numFmtId="0" fontId="0" fillId="21" borderId="3" xfId="0" applyFill="1" applyBorder="1" applyAlignment="1">
      <alignment horizontal="center" vertical="center"/>
    </xf>
    <xf numFmtId="0" fontId="0" fillId="21" borderId="4" xfId="0" applyFill="1" applyBorder="1" applyAlignment="1">
      <alignment horizontal="center" vertical="center"/>
    </xf>
    <xf numFmtId="0" fontId="0" fillId="22" borderId="6" xfId="0" applyFill="1" applyBorder="1" applyAlignment="1">
      <alignment horizontal="center" vertical="center"/>
    </xf>
    <xf numFmtId="0" fontId="0" fillId="21" borderId="6" xfId="0" applyFill="1" applyBorder="1" applyAlignment="1">
      <alignment horizontal="center" vertical="center"/>
    </xf>
    <xf numFmtId="0" fontId="0" fillId="22" borderId="8" xfId="0" applyFill="1" applyBorder="1" applyAlignment="1">
      <alignment horizontal="center" vertical="center"/>
    </xf>
    <xf numFmtId="0" fontId="1" fillId="19" borderId="14" xfId="0" applyFont="1" applyFill="1" applyBorder="1" applyAlignment="1">
      <alignment horizontal="center" vertical="center"/>
    </xf>
    <xf numFmtId="0" fontId="1" fillId="20" borderId="15" xfId="0" applyFont="1" applyFill="1" applyBorder="1" applyAlignment="1">
      <alignment horizontal="center" vertical="center"/>
    </xf>
    <xf numFmtId="0" fontId="1" fillId="19" borderId="2" xfId="0" applyFont="1" applyFill="1" applyBorder="1" applyAlignment="1">
      <alignment horizontal="center" vertical="center"/>
    </xf>
    <xf numFmtId="10" fontId="0" fillId="21" borderId="5" xfId="0" applyNumberFormat="1" applyFill="1" applyBorder="1" applyAlignment="1">
      <alignment horizontal="center" vertical="center"/>
    </xf>
    <xf numFmtId="10" fontId="0" fillId="22" borderId="7" xfId="0" applyNumberFormat="1" applyFill="1" applyBorder="1" applyAlignment="1">
      <alignment horizontal="center" vertical="center"/>
    </xf>
    <xf numFmtId="10" fontId="0" fillId="21" borderId="7" xfId="0" applyNumberFormat="1" applyFill="1" applyBorder="1" applyAlignment="1">
      <alignment horizontal="center" vertical="center"/>
    </xf>
    <xf numFmtId="10" fontId="0" fillId="22" borderId="26" xfId="0" applyNumberFormat="1" applyFill="1" applyBorder="1" applyAlignment="1">
      <alignment horizontal="center" vertical="center"/>
    </xf>
    <xf numFmtId="0" fontId="1" fillId="19" borderId="18" xfId="0" applyFont="1" applyFill="1" applyBorder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0" fontId="0" fillId="22" borderId="19" xfId="0" applyFill="1" applyBorder="1" applyAlignment="1">
      <alignment horizontal="right" vertical="center"/>
    </xf>
    <xf numFmtId="0" fontId="1" fillId="19" borderId="18" xfId="0" applyFont="1" applyFill="1" applyBorder="1"/>
    <xf numFmtId="0" fontId="0" fillId="22" borderId="19" xfId="0" applyFill="1" applyBorder="1"/>
    <xf numFmtId="2" fontId="0" fillId="22" borderId="8" xfId="0" applyNumberFormat="1" applyFill="1" applyBorder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10" fontId="0" fillId="5" borderId="0" xfId="0" applyNumberFormat="1" applyFill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0" fillId="5" borderId="28" xfId="0" applyFill="1" applyBorder="1" applyAlignment="1">
      <alignment horizontal="center" vertical="center"/>
    </xf>
    <xf numFmtId="10" fontId="0" fillId="5" borderId="29" xfId="0" applyNumberFormat="1" applyFill="1" applyBorder="1" applyAlignment="1">
      <alignment horizontal="center" vertical="center"/>
    </xf>
    <xf numFmtId="10" fontId="0" fillId="12" borderId="7" xfId="0" applyNumberFormat="1" applyFill="1" applyBorder="1" applyAlignment="1">
      <alignment horizontal="center" vertical="center"/>
    </xf>
    <xf numFmtId="10" fontId="0" fillId="13" borderId="30" xfId="0" applyNumberFormat="1" applyFill="1" applyBorder="1" applyAlignment="1">
      <alignment horizontal="center" vertical="center"/>
    </xf>
    <xf numFmtId="10" fontId="0" fillId="23" borderId="7" xfId="0" applyNumberFormat="1" applyFill="1" applyBorder="1" applyAlignment="1">
      <alignment horizontal="center" vertical="center"/>
    </xf>
    <xf numFmtId="10" fontId="0" fillId="23" borderId="26" xfId="0" applyNumberFormat="1" applyFill="1" applyBorder="1" applyAlignment="1">
      <alignment horizontal="center" vertical="center"/>
    </xf>
    <xf numFmtId="0" fontId="0" fillId="24" borderId="3" xfId="0" applyFill="1" applyBorder="1" applyAlignment="1">
      <alignment horizontal="center" vertical="center"/>
    </xf>
    <xf numFmtId="0" fontId="0" fillId="24" borderId="4" xfId="0" applyFill="1" applyBorder="1" applyAlignment="1">
      <alignment horizontal="center" vertical="center"/>
    </xf>
    <xf numFmtId="10" fontId="0" fillId="24" borderId="5" xfId="0" applyNumberFormat="1" applyFill="1" applyBorder="1" applyAlignment="1">
      <alignment horizontal="center" vertical="center"/>
    </xf>
    <xf numFmtId="0" fontId="0" fillId="24" borderId="6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10" fontId="0" fillId="24" borderId="7" xfId="0" applyNumberFormat="1" applyFill="1" applyBorder="1" applyAlignment="1">
      <alignment horizontal="center" vertical="center"/>
    </xf>
    <xf numFmtId="10" fontId="0" fillId="24" borderId="16" xfId="0" applyNumberFormat="1" applyFill="1" applyBorder="1" applyAlignment="1">
      <alignment horizontal="center" vertical="center"/>
    </xf>
    <xf numFmtId="0" fontId="0" fillId="24" borderId="8" xfId="0" applyFill="1" applyBorder="1" applyAlignment="1">
      <alignment horizontal="center" vertical="center"/>
    </xf>
    <xf numFmtId="0" fontId="0" fillId="24" borderId="9" xfId="0" applyFill="1" applyBorder="1" applyAlignment="1">
      <alignment horizontal="center" vertical="center"/>
    </xf>
    <xf numFmtId="0" fontId="1" fillId="25" borderId="15" xfId="0" applyFont="1" applyFill="1" applyBorder="1" applyAlignment="1">
      <alignment horizontal="center" vertical="center"/>
    </xf>
    <xf numFmtId="0" fontId="1" fillId="25" borderId="10" xfId="0" applyFont="1" applyFill="1" applyBorder="1" applyAlignment="1">
      <alignment horizontal="center" vertical="center"/>
    </xf>
    <xf numFmtId="0" fontId="1" fillId="25" borderId="11" xfId="0" applyFont="1" applyFill="1" applyBorder="1" applyAlignment="1">
      <alignment horizontal="center" vertical="center"/>
    </xf>
    <xf numFmtId="0" fontId="0" fillId="26" borderId="6" xfId="0" applyFill="1" applyBorder="1" applyAlignment="1">
      <alignment horizontal="center" vertical="center"/>
    </xf>
    <xf numFmtId="0" fontId="0" fillId="26" borderId="1" xfId="0" applyFill="1" applyBorder="1" applyAlignment="1">
      <alignment horizontal="center" vertical="center"/>
    </xf>
    <xf numFmtId="10" fontId="0" fillId="26" borderId="7" xfId="0" applyNumberFormat="1" applyFill="1" applyBorder="1" applyAlignment="1">
      <alignment horizontal="center" vertical="center"/>
    </xf>
    <xf numFmtId="0" fontId="0" fillId="26" borderId="8" xfId="0" applyFill="1" applyBorder="1" applyAlignment="1">
      <alignment horizontal="center" vertical="center"/>
    </xf>
    <xf numFmtId="0" fontId="0" fillId="26" borderId="9" xfId="0" applyFill="1" applyBorder="1" applyAlignment="1">
      <alignment horizontal="center" vertical="center"/>
    </xf>
    <xf numFmtId="10" fontId="0" fillId="26" borderId="26" xfId="0" applyNumberFormat="1" applyFill="1" applyBorder="1" applyAlignment="1">
      <alignment horizontal="center" vertical="center"/>
    </xf>
    <xf numFmtId="0" fontId="0" fillId="24" borderId="19" xfId="0" applyFill="1" applyBorder="1"/>
    <xf numFmtId="0" fontId="0" fillId="26" borderId="19" xfId="0" applyFill="1" applyBorder="1"/>
    <xf numFmtId="0" fontId="1" fillId="27" borderId="2" xfId="0" applyFont="1" applyFill="1" applyBorder="1" applyAlignment="1">
      <alignment horizontal="center" vertical="center"/>
    </xf>
    <xf numFmtId="0" fontId="1" fillId="27" borderId="14" xfId="0" applyFont="1" applyFill="1" applyBorder="1" applyAlignment="1">
      <alignment horizontal="center" vertical="center"/>
    </xf>
    <xf numFmtId="0" fontId="1" fillId="27" borderId="12" xfId="0" applyFont="1" applyFill="1" applyBorder="1" applyAlignment="1">
      <alignment horizontal="center" vertical="center"/>
    </xf>
    <xf numFmtId="0" fontId="1" fillId="27" borderId="13" xfId="0" applyFont="1" applyFill="1" applyBorder="1" applyAlignment="1">
      <alignment horizontal="center" vertical="center"/>
    </xf>
    <xf numFmtId="0" fontId="1" fillId="28" borderId="15" xfId="0" applyFont="1" applyFill="1" applyBorder="1" applyAlignment="1">
      <alignment horizontal="center" vertical="center"/>
    </xf>
    <xf numFmtId="0" fontId="1" fillId="28" borderId="10" xfId="0" applyFont="1" applyFill="1" applyBorder="1" applyAlignment="1">
      <alignment horizontal="center" vertical="center"/>
    </xf>
    <xf numFmtId="0" fontId="1" fillId="28" borderId="11" xfId="0" applyFont="1" applyFill="1" applyBorder="1" applyAlignment="1">
      <alignment horizontal="center" vertical="center"/>
    </xf>
    <xf numFmtId="0" fontId="1" fillId="29" borderId="2" xfId="0" applyFont="1" applyFill="1" applyBorder="1" applyAlignment="1">
      <alignment horizontal="center" vertical="center"/>
    </xf>
    <xf numFmtId="0" fontId="1" fillId="29" borderId="14" xfId="0" applyFont="1" applyFill="1" applyBorder="1" applyAlignment="1">
      <alignment horizontal="center" vertical="center"/>
    </xf>
    <xf numFmtId="0" fontId="1" fillId="29" borderId="12" xfId="0" applyFont="1" applyFill="1" applyBorder="1" applyAlignment="1">
      <alignment horizontal="center" vertical="center"/>
    </xf>
    <xf numFmtId="0" fontId="1" fillId="29" borderId="13" xfId="0" applyFont="1" applyFill="1" applyBorder="1" applyAlignment="1">
      <alignment horizontal="center" vertical="center"/>
    </xf>
    <xf numFmtId="0" fontId="0" fillId="30" borderId="3" xfId="0" applyFill="1" applyBorder="1" applyAlignment="1">
      <alignment horizontal="center" vertical="center"/>
    </xf>
    <xf numFmtId="0" fontId="0" fillId="30" borderId="4" xfId="0" applyFill="1" applyBorder="1" applyAlignment="1">
      <alignment horizontal="center" vertical="center"/>
    </xf>
    <xf numFmtId="10" fontId="0" fillId="30" borderId="5" xfId="0" applyNumberFormat="1" applyFill="1" applyBorder="1" applyAlignment="1">
      <alignment horizontal="center" vertical="center"/>
    </xf>
    <xf numFmtId="0" fontId="1" fillId="31" borderId="15" xfId="0" applyFont="1" applyFill="1" applyBorder="1" applyAlignment="1">
      <alignment horizontal="center" vertical="center"/>
    </xf>
    <xf numFmtId="0" fontId="1" fillId="31" borderId="10" xfId="0" applyFont="1" applyFill="1" applyBorder="1" applyAlignment="1">
      <alignment horizontal="center" vertical="center"/>
    </xf>
    <xf numFmtId="0" fontId="1" fillId="31" borderId="11" xfId="0" applyFont="1" applyFill="1" applyBorder="1" applyAlignment="1">
      <alignment horizontal="center" vertical="center"/>
    </xf>
    <xf numFmtId="0" fontId="1" fillId="32" borderId="2" xfId="0" applyFont="1" applyFill="1" applyBorder="1" applyAlignment="1">
      <alignment horizontal="center" vertical="center"/>
    </xf>
    <xf numFmtId="0" fontId="1" fillId="32" borderId="14" xfId="0" applyFont="1" applyFill="1" applyBorder="1" applyAlignment="1">
      <alignment horizontal="center" vertical="center"/>
    </xf>
    <xf numFmtId="0" fontId="1" fillId="32" borderId="12" xfId="0" applyFont="1" applyFill="1" applyBorder="1" applyAlignment="1">
      <alignment horizontal="center" vertical="center"/>
    </xf>
    <xf numFmtId="0" fontId="1" fillId="32" borderId="13" xfId="0" applyFont="1" applyFill="1" applyBorder="1" applyAlignment="1">
      <alignment horizontal="center" vertical="center"/>
    </xf>
    <xf numFmtId="0" fontId="1" fillId="32" borderId="18" xfId="0" applyFont="1" applyFill="1" applyBorder="1"/>
    <xf numFmtId="9" fontId="1" fillId="27" borderId="18" xfId="0" applyNumberFormat="1" applyFont="1" applyFill="1" applyBorder="1"/>
    <xf numFmtId="0" fontId="4" fillId="5" borderId="0" xfId="0" applyFont="1" applyFill="1"/>
    <xf numFmtId="0" fontId="4" fillId="34" borderId="3" xfId="0" applyFont="1" applyFill="1" applyBorder="1" applyAlignment="1">
      <alignment horizontal="center" vertical="center"/>
    </xf>
    <xf numFmtId="0" fontId="4" fillId="34" borderId="4" xfId="0" applyFont="1" applyFill="1" applyBorder="1" applyAlignment="1">
      <alignment horizontal="center" vertical="center"/>
    </xf>
    <xf numFmtId="10" fontId="4" fillId="34" borderId="5" xfId="0" applyNumberFormat="1" applyFont="1" applyFill="1" applyBorder="1" applyAlignment="1">
      <alignment horizontal="center" vertical="center"/>
    </xf>
    <xf numFmtId="0" fontId="4" fillId="35" borderId="6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center" vertical="center"/>
    </xf>
    <xf numFmtId="10" fontId="4" fillId="35" borderId="7" xfId="0" applyNumberFormat="1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center" vertical="center"/>
    </xf>
    <xf numFmtId="10" fontId="4" fillId="34" borderId="16" xfId="0" applyNumberFormat="1" applyFont="1" applyFill="1" applyBorder="1" applyAlignment="1">
      <alignment horizontal="center" vertical="center"/>
    </xf>
    <xf numFmtId="0" fontId="4" fillId="35" borderId="8" xfId="0" applyFont="1" applyFill="1" applyBorder="1" applyAlignment="1">
      <alignment horizontal="center" vertical="center"/>
    </xf>
    <xf numFmtId="0" fontId="4" fillId="35" borderId="9" xfId="0" applyFont="1" applyFill="1" applyBorder="1" applyAlignment="1">
      <alignment horizontal="center" vertical="center"/>
    </xf>
    <xf numFmtId="0" fontId="4" fillId="33" borderId="19" xfId="0" applyFont="1" applyFill="1" applyBorder="1"/>
    <xf numFmtId="10" fontId="4" fillId="35" borderId="30" xfId="0" applyNumberFormat="1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1" fillId="27" borderId="18" xfId="0" applyFont="1" applyFill="1" applyBorder="1"/>
    <xf numFmtId="10" fontId="0" fillId="26" borderId="16" xfId="0" applyNumberFormat="1" applyFill="1" applyBorder="1" applyAlignment="1">
      <alignment horizontal="center" vertical="center"/>
    </xf>
    <xf numFmtId="10" fontId="0" fillId="24" borderId="17" xfId="0" applyNumberFormat="1" applyFill="1" applyBorder="1" applyAlignment="1">
      <alignment horizontal="center" vertical="center"/>
    </xf>
    <xf numFmtId="0" fontId="1" fillId="36" borderId="2" xfId="0" applyFont="1" applyFill="1" applyBorder="1" applyAlignment="1">
      <alignment horizontal="center" vertical="center"/>
    </xf>
    <xf numFmtId="0" fontId="1" fillId="36" borderId="23" xfId="0" applyFont="1" applyFill="1" applyBorder="1" applyAlignment="1">
      <alignment horizontal="center" vertical="center"/>
    </xf>
    <xf numFmtId="0" fontId="1" fillId="36" borderId="21" xfId="0" applyFont="1" applyFill="1" applyBorder="1" applyAlignment="1">
      <alignment horizontal="center" vertical="center"/>
    </xf>
    <xf numFmtId="0" fontId="1" fillId="36" borderId="25" xfId="0" applyFont="1" applyFill="1" applyBorder="1" applyAlignment="1">
      <alignment horizontal="center" vertical="center"/>
    </xf>
    <xf numFmtId="0" fontId="1" fillId="36" borderId="18" xfId="0" applyFont="1" applyFill="1" applyBorder="1"/>
    <xf numFmtId="0" fontId="1" fillId="31" borderId="22" xfId="0" applyFont="1" applyFill="1" applyBorder="1" applyAlignment="1">
      <alignment horizontal="center" vertical="center"/>
    </xf>
    <xf numFmtId="0" fontId="2" fillId="34" borderId="20" xfId="0" applyFont="1" applyFill="1" applyBorder="1" applyAlignment="1">
      <alignment horizontal="center" vertical="center"/>
    </xf>
    <xf numFmtId="0" fontId="2" fillId="34" borderId="21" xfId="0" applyFont="1" applyFill="1" applyBorder="1" applyAlignment="1">
      <alignment horizontal="center" vertical="center"/>
    </xf>
    <xf numFmtId="10" fontId="2" fillId="34" borderId="25" xfId="0" applyNumberFormat="1" applyFont="1" applyFill="1" applyBorder="1" applyAlignment="1">
      <alignment horizontal="center" vertical="center"/>
    </xf>
    <xf numFmtId="0" fontId="2" fillId="34" borderId="19" xfId="0" applyFont="1" applyFill="1" applyBorder="1"/>
    <xf numFmtId="0" fontId="5" fillId="37" borderId="2" xfId="0" applyFont="1" applyFill="1" applyBorder="1" applyAlignment="1">
      <alignment horizontal="center" vertical="center"/>
    </xf>
    <xf numFmtId="0" fontId="5" fillId="37" borderId="14" xfId="0" applyFont="1" applyFill="1" applyBorder="1" applyAlignment="1">
      <alignment horizontal="center" vertical="center"/>
    </xf>
    <xf numFmtId="0" fontId="5" fillId="37" borderId="12" xfId="0" applyFont="1" applyFill="1" applyBorder="1" applyAlignment="1">
      <alignment horizontal="center" vertical="center"/>
    </xf>
    <xf numFmtId="0" fontId="5" fillId="37" borderId="13" xfId="0" applyFont="1" applyFill="1" applyBorder="1" applyAlignment="1">
      <alignment horizontal="center" vertical="center"/>
    </xf>
    <xf numFmtId="0" fontId="5" fillId="38" borderId="10" xfId="0" applyFont="1" applyFill="1" applyBorder="1" applyAlignment="1">
      <alignment horizontal="center" vertical="center"/>
    </xf>
    <xf numFmtId="0" fontId="5" fillId="38" borderId="11" xfId="0" applyFont="1" applyFill="1" applyBorder="1" applyAlignment="1">
      <alignment horizontal="center" vertical="center"/>
    </xf>
    <xf numFmtId="0" fontId="2" fillId="39" borderId="6" xfId="0" applyFont="1" applyFill="1" applyBorder="1" applyAlignment="1">
      <alignment horizontal="center" vertical="center"/>
    </xf>
    <xf numFmtId="0" fontId="2" fillId="39" borderId="1" xfId="0" applyFont="1" applyFill="1" applyBorder="1" applyAlignment="1">
      <alignment horizontal="center" vertical="center"/>
    </xf>
    <xf numFmtId="10" fontId="2" fillId="39" borderId="7" xfId="0" applyNumberFormat="1" applyFont="1" applyFill="1" applyBorder="1" applyAlignment="1">
      <alignment horizontal="center" vertical="center"/>
    </xf>
    <xf numFmtId="0" fontId="5" fillId="37" borderId="18" xfId="0" applyFont="1" applyFill="1" applyBorder="1" applyAlignment="1">
      <alignment horizontal="left" vertical="center"/>
    </xf>
    <xf numFmtId="0" fontId="2" fillId="40" borderId="8" xfId="0" applyFont="1" applyFill="1" applyBorder="1" applyAlignment="1">
      <alignment horizontal="center" vertical="center"/>
    </xf>
    <xf numFmtId="0" fontId="2" fillId="40" borderId="9" xfId="0" applyFont="1" applyFill="1" applyBorder="1" applyAlignment="1">
      <alignment horizontal="center" vertical="center"/>
    </xf>
    <xf numFmtId="10" fontId="2" fillId="40" borderId="26" xfId="0" applyNumberFormat="1" applyFont="1" applyFill="1" applyBorder="1" applyAlignment="1">
      <alignment horizontal="center" vertical="center"/>
    </xf>
    <xf numFmtId="0" fontId="2" fillId="40" borderId="19" xfId="0" applyFont="1" applyFill="1" applyBorder="1" applyAlignment="1">
      <alignment horizontal="right" vertical="center"/>
    </xf>
    <xf numFmtId="2" fontId="0" fillId="40" borderId="8" xfId="0" applyNumberFormat="1" applyFill="1" applyBorder="1" applyAlignment="1">
      <alignment horizontal="center" vertical="center"/>
    </xf>
    <xf numFmtId="0" fontId="0" fillId="40" borderId="9" xfId="0" applyFill="1" applyBorder="1" applyAlignment="1">
      <alignment horizontal="center" vertical="center"/>
    </xf>
    <xf numFmtId="10" fontId="0" fillId="40" borderId="26" xfId="0" applyNumberFormat="1" applyFill="1" applyBorder="1" applyAlignment="1">
      <alignment horizontal="center" vertical="center"/>
    </xf>
    <xf numFmtId="0" fontId="0" fillId="40" borderId="19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10" fontId="6" fillId="12" borderId="30" xfId="0" applyNumberFormat="1" applyFont="1" applyFill="1" applyBorder="1" applyAlignment="1">
      <alignment horizontal="center" vertical="center"/>
    </xf>
    <xf numFmtId="10" fontId="6" fillId="13" borderId="7" xfId="0" applyNumberFormat="1" applyFont="1" applyFill="1" applyBorder="1" applyAlignment="1">
      <alignment horizontal="center" vertical="center"/>
    </xf>
    <xf numFmtId="0" fontId="6" fillId="12" borderId="4" xfId="0" applyFont="1" applyFill="1" applyBorder="1" applyAlignment="1">
      <alignment horizontal="center" vertical="center"/>
    </xf>
    <xf numFmtId="0" fontId="0" fillId="12" borderId="32" xfId="0" applyFill="1" applyBorder="1" applyAlignment="1">
      <alignment horizontal="center" vertical="center"/>
    </xf>
    <xf numFmtId="0" fontId="6" fillId="12" borderId="3" xfId="0" applyFont="1" applyFill="1" applyBorder="1" applyAlignment="1">
      <alignment horizontal="center" vertical="center"/>
    </xf>
    <xf numFmtId="0" fontId="0" fillId="12" borderId="33" xfId="0" applyFill="1" applyBorder="1" applyAlignment="1">
      <alignment horizontal="center" vertical="center"/>
    </xf>
    <xf numFmtId="0" fontId="5" fillId="37" borderId="31" xfId="0" applyFont="1" applyFill="1" applyBorder="1" applyAlignment="1">
      <alignment horizontal="center" vertical="center"/>
    </xf>
    <xf numFmtId="0" fontId="5" fillId="37" borderId="20" xfId="0" applyFont="1" applyFill="1" applyBorder="1" applyAlignment="1">
      <alignment horizontal="center" vertical="center"/>
    </xf>
    <xf numFmtId="0" fontId="5" fillId="37" borderId="23" xfId="0" applyFont="1" applyFill="1" applyBorder="1" applyAlignment="1">
      <alignment horizontal="center" vertical="center"/>
    </xf>
    <xf numFmtId="10" fontId="0" fillId="13" borderId="16" xfId="0" applyNumberFormat="1" applyFill="1" applyBorder="1" applyAlignment="1">
      <alignment horizontal="center" vertical="center"/>
    </xf>
    <xf numFmtId="0" fontId="1" fillId="4" borderId="34" xfId="0" applyFont="1" applyFill="1" applyBorder="1"/>
    <xf numFmtId="0" fontId="0" fillId="5" borderId="0" xfId="0" applyFill="1" applyAlignment="1">
      <alignment horizontal="center"/>
    </xf>
    <xf numFmtId="0" fontId="3" fillId="5" borderId="0" xfId="0" applyFont="1" applyFill="1"/>
    <xf numFmtId="0" fontId="0" fillId="26" borderId="27" xfId="0" applyFill="1" applyBorder="1" applyAlignment="1">
      <alignment horizontal="center" vertical="center"/>
    </xf>
    <xf numFmtId="10" fontId="0" fillId="24" borderId="35" xfId="1" applyNumberFormat="1" applyFont="1" applyFill="1" applyBorder="1" applyAlignment="1">
      <alignment horizontal="center" vertical="center"/>
    </xf>
    <xf numFmtId="10" fontId="0" fillId="26" borderId="35" xfId="1" applyNumberFormat="1" applyFont="1" applyFill="1" applyBorder="1" applyAlignment="1">
      <alignment horizontal="center" vertical="center"/>
    </xf>
    <xf numFmtId="0" fontId="4" fillId="23" borderId="8" xfId="0" applyFont="1" applyFill="1" applyBorder="1" applyAlignment="1">
      <alignment horizontal="center" vertical="center"/>
    </xf>
    <xf numFmtId="0" fontId="4" fillId="23" borderId="9" xfId="0" applyFont="1" applyFill="1" applyBorder="1" applyAlignment="1">
      <alignment horizontal="center" vertical="center"/>
    </xf>
    <xf numFmtId="0" fontId="4" fillId="23" borderId="19" xfId="0" applyFont="1" applyFill="1" applyBorder="1"/>
    <xf numFmtId="10" fontId="0" fillId="23" borderId="17" xfId="0" applyNumberFormat="1" applyFill="1" applyBorder="1" applyAlignment="1">
      <alignment horizontal="center" vertical="center"/>
    </xf>
    <xf numFmtId="0" fontId="6" fillId="12" borderId="27" xfId="0" applyFont="1" applyFill="1" applyBorder="1" applyAlignment="1">
      <alignment horizontal="center" vertical="center"/>
    </xf>
    <xf numFmtId="0" fontId="6" fillId="12" borderId="28" xfId="0" applyFont="1" applyFill="1" applyBorder="1" applyAlignment="1">
      <alignment horizontal="center" vertical="center"/>
    </xf>
    <xf numFmtId="10" fontId="6" fillId="12" borderId="29" xfId="0" applyNumberFormat="1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10" fontId="6" fillId="12" borderId="38" xfId="0" applyNumberFormat="1" applyFont="1" applyFill="1" applyBorder="1" applyAlignment="1">
      <alignment horizontal="center" vertical="center"/>
    </xf>
    <xf numFmtId="10" fontId="6" fillId="12" borderId="39" xfId="0" applyNumberFormat="1" applyFont="1" applyFill="1" applyBorder="1" applyAlignment="1">
      <alignment horizontal="center" vertical="center"/>
    </xf>
    <xf numFmtId="0" fontId="6" fillId="12" borderId="35" xfId="0" applyFont="1" applyFill="1" applyBorder="1" applyAlignment="1">
      <alignment horizontal="center" vertical="center"/>
    </xf>
    <xf numFmtId="0" fontId="6" fillId="13" borderId="35" xfId="0" applyFont="1" applyFill="1" applyBorder="1" applyAlignment="1">
      <alignment horizontal="center" vertical="center"/>
    </xf>
    <xf numFmtId="10" fontId="6" fillId="13" borderId="40" xfId="0" applyNumberFormat="1" applyFont="1" applyFill="1" applyBorder="1" applyAlignment="1">
      <alignment horizontal="center" vertical="center"/>
    </xf>
    <xf numFmtId="10" fontId="6" fillId="13" borderId="39" xfId="0" applyNumberFormat="1" applyFont="1" applyFill="1" applyBorder="1" applyAlignment="1">
      <alignment horizontal="center" vertical="center"/>
    </xf>
    <xf numFmtId="0" fontId="6" fillId="13" borderId="27" xfId="0" applyFont="1" applyFill="1" applyBorder="1" applyAlignment="1">
      <alignment horizontal="center" vertical="center"/>
    </xf>
    <xf numFmtId="0" fontId="0" fillId="5" borderId="22" xfId="0" applyFill="1" applyBorder="1"/>
    <xf numFmtId="0" fontId="5" fillId="38" borderId="2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/>
    </xf>
    <xf numFmtId="0" fontId="2" fillId="5" borderId="37" xfId="0" applyFont="1" applyFill="1" applyBorder="1"/>
    <xf numFmtId="0" fontId="0" fillId="5" borderId="37" xfId="0" applyFill="1" applyBorder="1"/>
    <xf numFmtId="0" fontId="4" fillId="5" borderId="0" xfId="0" quotePrefix="1" applyFont="1" applyFill="1"/>
    <xf numFmtId="0" fontId="0" fillId="23" borderId="41" xfId="0" applyFill="1" applyBorder="1"/>
    <xf numFmtId="0" fontId="2" fillId="23" borderId="41" xfId="0" applyFont="1" applyFill="1" applyBorder="1"/>
    <xf numFmtId="0" fontId="8" fillId="33" borderId="36" xfId="0" applyFont="1" applyFill="1" applyBorder="1"/>
    <xf numFmtId="0" fontId="8" fillId="33" borderId="31" xfId="0" applyFont="1" applyFill="1" applyBorder="1"/>
    <xf numFmtId="0" fontId="4" fillId="4" borderId="37" xfId="0" applyFont="1" applyFill="1" applyBorder="1" applyAlignment="1">
      <alignment horizontal="center"/>
    </xf>
    <xf numFmtId="0" fontId="4" fillId="41" borderId="43" xfId="0" applyFont="1" applyFill="1" applyBorder="1" applyAlignment="1">
      <alignment horizontal="center"/>
    </xf>
    <xf numFmtId="0" fontId="0" fillId="13" borderId="46" xfId="0" applyFill="1" applyBorder="1" applyAlignment="1">
      <alignment horizontal="center" vertical="center"/>
    </xf>
    <xf numFmtId="0" fontId="0" fillId="12" borderId="47" xfId="0" applyFill="1" applyBorder="1" applyAlignment="1">
      <alignment horizontal="center" vertical="center"/>
    </xf>
    <xf numFmtId="0" fontId="0" fillId="13" borderId="48" xfId="0" applyFill="1" applyBorder="1" applyAlignment="1">
      <alignment horizontal="center" vertical="center"/>
    </xf>
    <xf numFmtId="0" fontId="0" fillId="12" borderId="49" xfId="0" applyFill="1" applyBorder="1" applyAlignment="1">
      <alignment horizontal="center" vertical="center"/>
    </xf>
    <xf numFmtId="0" fontId="4" fillId="4" borderId="50" xfId="0" applyFont="1" applyFill="1" applyBorder="1" applyAlignment="1">
      <alignment horizontal="center" vertical="center"/>
    </xf>
    <xf numFmtId="0" fontId="4" fillId="41" borderId="47" xfId="0" applyFont="1" applyFill="1" applyBorder="1" applyAlignment="1">
      <alignment horizontal="center"/>
    </xf>
    <xf numFmtId="0" fontId="0" fillId="5" borderId="52" xfId="0" applyFill="1" applyBorder="1" applyAlignment="1">
      <alignment horizontal="center"/>
    </xf>
    <xf numFmtId="0" fontId="10" fillId="5" borderId="0" xfId="0" applyFont="1" applyFill="1" applyAlignment="1">
      <alignment horizontal="center"/>
    </xf>
    <xf numFmtId="0" fontId="12" fillId="43" borderId="0" xfId="2" applyFont="1" applyFill="1"/>
    <xf numFmtId="0" fontId="13" fillId="5" borderId="0" xfId="0" applyFont="1" applyFill="1"/>
    <xf numFmtId="0" fontId="14" fillId="5" borderId="0" xfId="0" applyFont="1" applyFill="1"/>
    <xf numFmtId="0" fontId="14" fillId="5" borderId="0" xfId="0" applyFont="1" applyFill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8" fillId="34" borderId="6" xfId="0" applyFont="1" applyFill="1" applyBorder="1" applyAlignment="1">
      <alignment horizontal="center" vertical="center"/>
    </xf>
    <xf numFmtId="0" fontId="9" fillId="13" borderId="6" xfId="0" applyFont="1" applyFill="1" applyBorder="1" applyAlignment="1">
      <alignment horizontal="center" vertical="center"/>
    </xf>
    <xf numFmtId="0" fontId="9" fillId="12" borderId="6" xfId="0" applyFont="1" applyFill="1" applyBorder="1" applyAlignment="1">
      <alignment horizontal="center" vertical="center"/>
    </xf>
    <xf numFmtId="0" fontId="13" fillId="5" borderId="0" xfId="0" applyFont="1" applyFill="1" applyAlignment="1">
      <alignment horizontal="center"/>
    </xf>
    <xf numFmtId="0" fontId="0" fillId="44" borderId="0" xfId="0" applyFill="1"/>
    <xf numFmtId="0" fontId="13" fillId="5" borderId="0" xfId="0" applyFont="1" applyFill="1" applyAlignment="1">
      <alignment horizontal="center" vertical="center"/>
    </xf>
    <xf numFmtId="10" fontId="0" fillId="48" borderId="5" xfId="0" applyNumberFormat="1" applyFill="1" applyBorder="1" applyAlignment="1">
      <alignment horizontal="center" vertical="center"/>
    </xf>
    <xf numFmtId="10" fontId="4" fillId="47" borderId="26" xfId="0" applyNumberFormat="1" applyFont="1" applyFill="1" applyBorder="1" applyAlignment="1">
      <alignment horizontal="center" vertical="center"/>
    </xf>
    <xf numFmtId="0" fontId="8" fillId="45" borderId="29" xfId="0" applyFont="1" applyFill="1" applyBorder="1" applyAlignment="1">
      <alignment horizontal="center" vertical="center"/>
    </xf>
    <xf numFmtId="0" fontId="8" fillId="45" borderId="7" xfId="0" applyFont="1" applyFill="1" applyBorder="1" applyAlignment="1">
      <alignment horizontal="center" vertical="center"/>
    </xf>
    <xf numFmtId="0" fontId="8" fillId="45" borderId="26" xfId="0" applyFont="1" applyFill="1" applyBorder="1" applyAlignment="1">
      <alignment horizontal="center" vertical="center"/>
    </xf>
    <xf numFmtId="0" fontId="0" fillId="44" borderId="0" xfId="0" applyFill="1" applyAlignment="1">
      <alignment horizontal="center" vertical="center"/>
    </xf>
    <xf numFmtId="0" fontId="8" fillId="46" borderId="2" xfId="0" applyFont="1" applyFill="1" applyBorder="1" applyAlignment="1">
      <alignment horizontal="center" vertical="center"/>
    </xf>
    <xf numFmtId="0" fontId="8" fillId="47" borderId="18" xfId="0" applyFont="1" applyFill="1" applyBorder="1" applyAlignment="1">
      <alignment horizontal="center" vertical="center"/>
    </xf>
    <xf numFmtId="0" fontId="8" fillId="47" borderId="57" xfId="0" applyFont="1" applyFill="1" applyBorder="1" applyAlignment="1">
      <alignment horizontal="center" vertical="center"/>
    </xf>
    <xf numFmtId="0" fontId="8" fillId="47" borderId="37" xfId="0" applyFont="1" applyFill="1" applyBorder="1" applyAlignment="1">
      <alignment horizontal="center" vertical="center"/>
    </xf>
    <xf numFmtId="0" fontId="0" fillId="48" borderId="19" xfId="0" applyFill="1" applyBorder="1"/>
    <xf numFmtId="0" fontId="2" fillId="44" borderId="0" xfId="0" applyFont="1" applyFill="1"/>
    <xf numFmtId="0" fontId="4" fillId="44" borderId="0" xfId="0" applyFont="1" applyFill="1"/>
    <xf numFmtId="0" fontId="4" fillId="44" borderId="0" xfId="0" applyFont="1" applyFill="1" applyAlignment="1">
      <alignment horizontal="center" vertical="center"/>
    </xf>
    <xf numFmtId="0" fontId="3" fillId="44" borderId="0" xfId="0" applyFont="1" applyFill="1" applyAlignment="1">
      <alignment horizontal="center" vertical="center"/>
    </xf>
    <xf numFmtId="0" fontId="0" fillId="40" borderId="1" xfId="0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16" fillId="37" borderId="2" xfId="0" applyFont="1" applyFill="1" applyBorder="1" applyAlignment="1">
      <alignment horizontal="center" vertical="center"/>
    </xf>
    <xf numFmtId="0" fontId="16" fillId="37" borderId="14" xfId="0" applyFont="1" applyFill="1" applyBorder="1" applyAlignment="1">
      <alignment horizontal="center" vertical="center"/>
    </xf>
    <xf numFmtId="0" fontId="16" fillId="37" borderId="12" xfId="0" applyFont="1" applyFill="1" applyBorder="1" applyAlignment="1">
      <alignment horizontal="center" vertical="center"/>
    </xf>
    <xf numFmtId="0" fontId="16" fillId="37" borderId="13" xfId="0" applyFont="1" applyFill="1" applyBorder="1" applyAlignment="1">
      <alignment horizontal="center" vertical="center"/>
    </xf>
    <xf numFmtId="0" fontId="16" fillId="51" borderId="15" xfId="0" applyFont="1" applyFill="1" applyBorder="1" applyAlignment="1">
      <alignment horizontal="center" vertical="center"/>
    </xf>
    <xf numFmtId="0" fontId="0" fillId="39" borderId="4" xfId="0" applyFill="1" applyBorder="1" applyAlignment="1">
      <alignment horizontal="center" vertical="center"/>
    </xf>
    <xf numFmtId="10" fontId="0" fillId="39" borderId="7" xfId="0" applyNumberFormat="1" applyFill="1" applyBorder="1" applyAlignment="1">
      <alignment horizontal="center" vertical="center"/>
    </xf>
    <xf numFmtId="9" fontId="0" fillId="44" borderId="0" xfId="0" applyNumberFormat="1" applyFill="1"/>
    <xf numFmtId="0" fontId="16" fillId="51" borderId="10" xfId="0" applyFont="1" applyFill="1" applyBorder="1" applyAlignment="1">
      <alignment horizontal="center" vertical="center"/>
    </xf>
    <xf numFmtId="0" fontId="0" fillId="40" borderId="6" xfId="0" applyFill="1" applyBorder="1" applyAlignment="1">
      <alignment horizontal="center" vertical="center"/>
    </xf>
    <xf numFmtId="10" fontId="0" fillId="40" borderId="7" xfId="0" applyNumberFormat="1" applyFill="1" applyBorder="1" applyAlignment="1">
      <alignment horizontal="center" vertical="center"/>
    </xf>
    <xf numFmtId="0" fontId="0" fillId="39" borderId="6" xfId="0" applyFill="1" applyBorder="1" applyAlignment="1">
      <alignment horizontal="center" vertical="center"/>
    </xf>
    <xf numFmtId="9" fontId="16" fillId="37" borderId="18" xfId="0" applyNumberFormat="1" applyFont="1" applyFill="1" applyBorder="1"/>
    <xf numFmtId="0" fontId="16" fillId="51" borderId="11" xfId="0" applyFont="1" applyFill="1" applyBorder="1" applyAlignment="1">
      <alignment horizontal="center" vertical="center"/>
    </xf>
    <xf numFmtId="0" fontId="0" fillId="39" borderId="9" xfId="0" applyFill="1" applyBorder="1" applyAlignment="1">
      <alignment horizontal="center" vertical="center"/>
    </xf>
    <xf numFmtId="10" fontId="0" fillId="39" borderId="26" xfId="0" applyNumberFormat="1" applyFill="1" applyBorder="1" applyAlignment="1">
      <alignment horizontal="center" vertical="center"/>
    </xf>
    <xf numFmtId="0" fontId="0" fillId="39" borderId="19" xfId="0" applyFill="1" applyBorder="1"/>
    <xf numFmtId="0" fontId="0" fillId="44" borderId="0" xfId="0" applyFill="1" applyAlignment="1">
      <alignment horizontal="center"/>
    </xf>
    <xf numFmtId="0" fontId="8" fillId="46" borderId="2" xfId="0" applyFont="1" applyFill="1" applyBorder="1" applyAlignment="1">
      <alignment horizontal="center"/>
    </xf>
    <xf numFmtId="0" fontId="0" fillId="48" borderId="4" xfId="0" applyFill="1" applyBorder="1" applyAlignment="1">
      <alignment horizontal="center"/>
    </xf>
    <xf numFmtId="0" fontId="0" fillId="48" borderId="27" xfId="0" applyFill="1" applyBorder="1" applyAlignment="1">
      <alignment horizontal="center"/>
    </xf>
    <xf numFmtId="0" fontId="0" fillId="48" borderId="28" xfId="0" applyFill="1" applyBorder="1" applyAlignment="1">
      <alignment horizontal="center"/>
    </xf>
    <xf numFmtId="0" fontId="0" fillId="49" borderId="9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9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8" fillId="52" borderId="21" xfId="0" applyFont="1" applyFill="1" applyBorder="1" applyAlignment="1">
      <alignment horizontal="center"/>
    </xf>
    <xf numFmtId="0" fontId="8" fillId="52" borderId="59" xfId="0" applyFont="1" applyFill="1" applyBorder="1" applyAlignment="1">
      <alignment horizontal="center"/>
    </xf>
    <xf numFmtId="0" fontId="8" fillId="52" borderId="23" xfId="0" applyFont="1" applyFill="1" applyBorder="1" applyAlignment="1">
      <alignment horizontal="center"/>
    </xf>
    <xf numFmtId="0" fontId="0" fillId="9" borderId="56" xfId="0" applyFill="1" applyBorder="1" applyAlignment="1">
      <alignment horizontal="center"/>
    </xf>
    <xf numFmtId="0" fontId="0" fillId="8" borderId="35" xfId="0" applyFill="1" applyBorder="1" applyAlignment="1">
      <alignment horizontal="center"/>
    </xf>
    <xf numFmtId="0" fontId="0" fillId="9" borderId="35" xfId="0" applyFill="1" applyBorder="1" applyAlignment="1">
      <alignment horizontal="center"/>
    </xf>
    <xf numFmtId="0" fontId="0" fillId="9" borderId="55" xfId="0" applyFill="1" applyBorder="1" applyAlignment="1">
      <alignment horizontal="center"/>
    </xf>
    <xf numFmtId="0" fontId="8" fillId="52" borderId="2" xfId="0" applyFont="1" applyFill="1" applyBorder="1" applyAlignment="1">
      <alignment horizontal="center" vertical="center"/>
    </xf>
    <xf numFmtId="0" fontId="8" fillId="53" borderId="29" xfId="0" applyFont="1" applyFill="1" applyBorder="1" applyAlignment="1">
      <alignment horizontal="center" vertical="center"/>
    </xf>
    <xf numFmtId="0" fontId="8" fillId="53" borderId="7" xfId="0" applyFont="1" applyFill="1" applyBorder="1" applyAlignment="1">
      <alignment horizontal="center" vertical="center"/>
    </xf>
    <xf numFmtId="0" fontId="8" fillId="53" borderId="26" xfId="0" applyFont="1" applyFill="1" applyBorder="1" applyAlignment="1">
      <alignment horizontal="center" vertical="center"/>
    </xf>
    <xf numFmtId="10" fontId="0" fillId="9" borderId="60" xfId="0" applyNumberFormat="1" applyFill="1" applyBorder="1" applyAlignment="1">
      <alignment horizontal="center" vertical="center"/>
    </xf>
    <xf numFmtId="10" fontId="0" fillId="9" borderId="26" xfId="0" applyNumberFormat="1" applyFill="1" applyBorder="1" applyAlignment="1">
      <alignment horizontal="center" vertical="center"/>
    </xf>
    <xf numFmtId="0" fontId="0" fillId="44" borderId="61" xfId="0" applyFill="1" applyBorder="1"/>
    <xf numFmtId="0" fontId="8" fillId="54" borderId="18" xfId="0" applyFont="1" applyFill="1" applyBorder="1"/>
    <xf numFmtId="0" fontId="18" fillId="44" borderId="0" xfId="0" applyFont="1" applyFill="1"/>
    <xf numFmtId="0" fontId="17" fillId="55" borderId="62" xfId="0" applyFont="1" applyFill="1" applyBorder="1" applyAlignment="1">
      <alignment horizontal="center" vertical="center"/>
    </xf>
    <xf numFmtId="0" fontId="2" fillId="23" borderId="63" xfId="0" applyFont="1" applyFill="1" applyBorder="1"/>
    <xf numFmtId="0" fontId="2" fillId="5" borderId="64" xfId="0" applyFont="1" applyFill="1" applyBorder="1"/>
    <xf numFmtId="0" fontId="17" fillId="55" borderId="66" xfId="0" applyFont="1" applyFill="1" applyBorder="1" applyAlignment="1">
      <alignment horizontal="center"/>
    </xf>
    <xf numFmtId="0" fontId="17" fillId="55" borderId="65" xfId="0" applyFont="1" applyFill="1" applyBorder="1" applyAlignment="1">
      <alignment horizontal="center"/>
    </xf>
    <xf numFmtId="0" fontId="17" fillId="55" borderId="67" xfId="0" applyFont="1" applyFill="1" applyBorder="1" applyAlignment="1">
      <alignment horizontal="center"/>
    </xf>
    <xf numFmtId="0" fontId="17" fillId="55" borderId="69" xfId="0" applyFont="1" applyFill="1" applyBorder="1" applyAlignment="1">
      <alignment horizontal="center" vertical="center"/>
    </xf>
    <xf numFmtId="0" fontId="17" fillId="55" borderId="68" xfId="0" applyFont="1" applyFill="1" applyBorder="1" applyAlignment="1">
      <alignment horizontal="center" vertical="center"/>
    </xf>
    <xf numFmtId="0" fontId="17" fillId="55" borderId="70" xfId="0" applyFont="1" applyFill="1" applyBorder="1" applyAlignment="1">
      <alignment horizontal="center" vertical="center"/>
    </xf>
    <xf numFmtId="0" fontId="17" fillId="55" borderId="71" xfId="0" applyFont="1" applyFill="1" applyBorder="1" applyAlignment="1">
      <alignment horizontal="center" vertical="center"/>
    </xf>
    <xf numFmtId="0" fontId="18" fillId="55" borderId="74" xfId="0" applyFont="1" applyFill="1" applyBorder="1" applyAlignment="1">
      <alignment horizontal="center"/>
    </xf>
    <xf numFmtId="0" fontId="18" fillId="55" borderId="75" xfId="0" applyFont="1" applyFill="1" applyBorder="1" applyAlignment="1">
      <alignment horizontal="center"/>
    </xf>
    <xf numFmtId="10" fontId="18" fillId="55" borderId="76" xfId="0" applyNumberFormat="1" applyFont="1" applyFill="1" applyBorder="1" applyAlignment="1">
      <alignment horizontal="center" vertical="center"/>
    </xf>
    <xf numFmtId="0" fontId="18" fillId="55" borderId="77" xfId="0" applyFont="1" applyFill="1" applyBorder="1" applyAlignment="1">
      <alignment horizontal="center"/>
    </xf>
    <xf numFmtId="0" fontId="18" fillId="55" borderId="78" xfId="0" applyFont="1" applyFill="1" applyBorder="1" applyAlignment="1">
      <alignment horizontal="center"/>
    </xf>
    <xf numFmtId="10" fontId="18" fillId="55" borderId="79" xfId="0" applyNumberFormat="1" applyFont="1" applyFill="1" applyBorder="1" applyAlignment="1">
      <alignment horizontal="center" vertical="center"/>
    </xf>
    <xf numFmtId="0" fontId="18" fillId="55" borderId="80" xfId="0" applyFont="1" applyFill="1" applyBorder="1" applyAlignment="1">
      <alignment horizontal="center"/>
    </xf>
    <xf numFmtId="0" fontId="18" fillId="55" borderId="81" xfId="0" applyFont="1" applyFill="1" applyBorder="1" applyAlignment="1">
      <alignment horizontal="center"/>
    </xf>
    <xf numFmtId="10" fontId="18" fillId="55" borderId="82" xfId="0" applyNumberFormat="1" applyFont="1" applyFill="1" applyBorder="1" applyAlignment="1">
      <alignment horizontal="center" vertical="center"/>
    </xf>
    <xf numFmtId="0" fontId="17" fillId="55" borderId="83" xfId="0" applyFont="1" applyFill="1" applyBorder="1" applyAlignment="1">
      <alignment horizontal="center" vertical="center"/>
    </xf>
    <xf numFmtId="0" fontId="18" fillId="55" borderId="84" xfId="0" applyFont="1" applyFill="1" applyBorder="1" applyAlignment="1">
      <alignment horizontal="center"/>
    </xf>
    <xf numFmtId="0" fontId="18" fillId="55" borderId="85" xfId="0" applyFont="1" applyFill="1" applyBorder="1" applyAlignment="1">
      <alignment horizontal="center"/>
    </xf>
    <xf numFmtId="10" fontId="18" fillId="55" borderId="86" xfId="0" applyNumberFormat="1" applyFont="1" applyFill="1" applyBorder="1" applyAlignment="1">
      <alignment horizontal="center" vertical="center"/>
    </xf>
    <xf numFmtId="0" fontId="18" fillId="55" borderId="72" xfId="0" applyFont="1" applyFill="1" applyBorder="1"/>
    <xf numFmtId="10" fontId="18" fillId="55" borderId="87" xfId="0" applyNumberFormat="1" applyFont="1" applyFill="1" applyBorder="1" applyAlignment="1">
      <alignment horizontal="center" vertical="center"/>
    </xf>
    <xf numFmtId="0" fontId="0" fillId="56" borderId="56" xfId="0" applyFill="1" applyBorder="1" applyAlignment="1">
      <alignment horizontal="center"/>
    </xf>
    <xf numFmtId="10" fontId="0" fillId="56" borderId="5" xfId="0" applyNumberFormat="1" applyFill="1" applyBorder="1" applyAlignment="1">
      <alignment horizontal="center" vertical="center"/>
    </xf>
    <xf numFmtId="0" fontId="0" fillId="56" borderId="35" xfId="0" applyFill="1" applyBorder="1" applyAlignment="1">
      <alignment horizontal="center"/>
    </xf>
    <xf numFmtId="0" fontId="0" fillId="56" borderId="1" xfId="0" applyFill="1" applyBorder="1" applyAlignment="1">
      <alignment horizontal="center"/>
    </xf>
    <xf numFmtId="10" fontId="0" fillId="56" borderId="29" xfId="0" applyNumberFormat="1" applyFill="1" applyBorder="1" applyAlignment="1">
      <alignment horizontal="center" vertical="center"/>
    </xf>
    <xf numFmtId="0" fontId="0" fillId="57" borderId="35" xfId="0" applyFill="1" applyBorder="1" applyAlignment="1">
      <alignment horizontal="center"/>
    </xf>
    <xf numFmtId="0" fontId="0" fillId="57" borderId="1" xfId="0" applyFill="1" applyBorder="1" applyAlignment="1">
      <alignment horizontal="center"/>
    </xf>
    <xf numFmtId="10" fontId="0" fillId="57" borderId="29" xfId="0" applyNumberFormat="1" applyFill="1" applyBorder="1" applyAlignment="1">
      <alignment horizontal="center" vertical="center"/>
    </xf>
    <xf numFmtId="0" fontId="0" fillId="57" borderId="55" xfId="0" applyFill="1" applyBorder="1" applyAlignment="1">
      <alignment horizontal="center"/>
    </xf>
    <xf numFmtId="0" fontId="0" fillId="57" borderId="9" xfId="0" applyFill="1" applyBorder="1" applyAlignment="1">
      <alignment horizontal="center"/>
    </xf>
    <xf numFmtId="10" fontId="0" fillId="57" borderId="26" xfId="0" applyNumberFormat="1" applyFill="1" applyBorder="1" applyAlignment="1">
      <alignment horizontal="center" vertical="center"/>
    </xf>
    <xf numFmtId="0" fontId="0" fillId="57" borderId="19" xfId="0" applyFill="1" applyBorder="1"/>
    <xf numFmtId="0" fontId="8" fillId="58" borderId="26" xfId="0" applyFont="1" applyFill="1" applyBorder="1" applyAlignment="1">
      <alignment horizontal="center" vertical="center"/>
    </xf>
    <xf numFmtId="0" fontId="8" fillId="58" borderId="55" xfId="0" applyFont="1" applyFill="1" applyBorder="1" applyAlignment="1">
      <alignment horizontal="center"/>
    </xf>
    <xf numFmtId="0" fontId="8" fillId="58" borderId="9" xfId="0" applyFont="1" applyFill="1" applyBorder="1" applyAlignment="1">
      <alignment horizontal="center"/>
    </xf>
    <xf numFmtId="0" fontId="8" fillId="50" borderId="2" xfId="0" applyFont="1" applyFill="1" applyBorder="1"/>
    <xf numFmtId="0" fontId="8" fillId="59" borderId="2" xfId="0" applyFont="1" applyFill="1" applyBorder="1"/>
    <xf numFmtId="0" fontId="19" fillId="55" borderId="73" xfId="0" applyFont="1" applyFill="1" applyBorder="1"/>
    <xf numFmtId="0" fontId="0" fillId="56" borderId="60" xfId="0" applyFill="1" applyBorder="1" applyAlignment="1">
      <alignment horizontal="center"/>
    </xf>
    <xf numFmtId="0" fontId="8" fillId="58" borderId="88" xfId="0" applyFont="1" applyFill="1" applyBorder="1" applyAlignment="1">
      <alignment horizontal="center"/>
    </xf>
    <xf numFmtId="10" fontId="0" fillId="48" borderId="7" xfId="0" applyNumberFormat="1" applyFill="1" applyBorder="1" applyAlignment="1">
      <alignment horizontal="center" vertical="center"/>
    </xf>
    <xf numFmtId="10" fontId="0" fillId="49" borderId="26" xfId="0" applyNumberFormat="1" applyFill="1" applyBorder="1" applyAlignment="1">
      <alignment horizontal="center" vertical="center"/>
    </xf>
    <xf numFmtId="10" fontId="0" fillId="44" borderId="0" xfId="1" applyNumberFormat="1" applyFont="1" applyFill="1"/>
    <xf numFmtId="0" fontId="3" fillId="44" borderId="0" xfId="0" applyFont="1" applyFill="1"/>
    <xf numFmtId="10" fontId="0" fillId="60" borderId="40" xfId="1" applyNumberFormat="1" applyFont="1" applyFill="1" applyBorder="1" applyAlignment="1">
      <alignment horizontal="center"/>
    </xf>
    <xf numFmtId="10" fontId="0" fillId="61" borderId="40" xfId="1" applyNumberFormat="1" applyFont="1" applyFill="1" applyBorder="1" applyAlignment="1">
      <alignment horizontal="center"/>
    </xf>
    <xf numFmtId="10" fontId="0" fillId="60" borderId="64" xfId="1" applyNumberFormat="1" applyFont="1" applyFill="1" applyBorder="1" applyAlignment="1">
      <alignment horizontal="center"/>
    </xf>
    <xf numFmtId="0" fontId="0" fillId="61" borderId="4" xfId="0" applyFill="1" applyBorder="1" applyAlignment="1">
      <alignment horizontal="center"/>
    </xf>
    <xf numFmtId="0" fontId="0" fillId="60" borderId="1" xfId="0" applyFill="1" applyBorder="1" applyAlignment="1">
      <alignment horizontal="center"/>
    </xf>
    <xf numFmtId="0" fontId="0" fillId="61" borderId="1" xfId="0" applyFill="1" applyBorder="1" applyAlignment="1">
      <alignment horizontal="center"/>
    </xf>
    <xf numFmtId="0" fontId="0" fillId="60" borderId="91" xfId="0" applyFill="1" applyBorder="1" applyAlignment="1">
      <alignment horizontal="center"/>
    </xf>
    <xf numFmtId="0" fontId="0" fillId="62" borderId="18" xfId="0" applyFill="1" applyBorder="1"/>
    <xf numFmtId="0" fontId="0" fillId="60" borderId="19" xfId="0" applyFill="1" applyBorder="1"/>
    <xf numFmtId="0" fontId="0" fillId="44" borderId="92" xfId="0" applyFill="1" applyBorder="1"/>
    <xf numFmtId="0" fontId="0" fillId="65" borderId="19" xfId="0" applyFill="1" applyBorder="1"/>
    <xf numFmtId="0" fontId="0" fillId="64" borderId="1" xfId="0" applyFill="1" applyBorder="1"/>
    <xf numFmtId="0" fontId="0" fillId="65" borderId="1" xfId="0" applyFill="1" applyBorder="1"/>
    <xf numFmtId="10" fontId="0" fillId="61" borderId="5" xfId="1" applyNumberFormat="1" applyFont="1" applyFill="1" applyBorder="1" applyAlignment="1">
      <alignment horizontal="center" vertical="center"/>
    </xf>
    <xf numFmtId="0" fontId="0" fillId="40" borderId="58" xfId="0" applyFill="1" applyBorder="1"/>
    <xf numFmtId="0" fontId="0" fillId="44" borderId="90" xfId="0" applyFill="1" applyBorder="1" applyAlignment="1">
      <alignment horizontal="center"/>
    </xf>
    <xf numFmtId="10" fontId="0" fillId="44" borderId="90" xfId="1" applyNumberFormat="1" applyFont="1" applyFill="1" applyBorder="1"/>
    <xf numFmtId="10" fontId="7" fillId="39" borderId="7" xfId="1" applyNumberFormat="1" applyFont="1" applyFill="1" applyBorder="1" applyAlignment="1">
      <alignment horizontal="center"/>
    </xf>
    <xf numFmtId="10" fontId="7" fillId="40" borderId="7" xfId="1" applyNumberFormat="1" applyFont="1" applyFill="1" applyBorder="1" applyAlignment="1">
      <alignment horizontal="center"/>
    </xf>
    <xf numFmtId="0" fontId="0" fillId="44" borderId="22" xfId="0" applyFill="1" applyBorder="1" applyAlignment="1">
      <alignment horizontal="center" vertical="center"/>
    </xf>
    <xf numFmtId="10" fontId="7" fillId="40" borderId="26" xfId="1" applyNumberFormat="1" applyFont="1" applyFill="1" applyBorder="1" applyAlignment="1">
      <alignment horizontal="center"/>
    </xf>
    <xf numFmtId="0" fontId="0" fillId="39" borderId="35" xfId="0" applyFill="1" applyBorder="1" applyAlignment="1">
      <alignment horizontal="center" vertical="center"/>
    </xf>
    <xf numFmtId="0" fontId="0" fillId="40" borderId="35" xfId="0" applyFill="1" applyBorder="1" applyAlignment="1">
      <alignment horizontal="center" vertical="center"/>
    </xf>
    <xf numFmtId="0" fontId="0" fillId="40" borderId="55" xfId="0" applyFill="1" applyBorder="1" applyAlignment="1">
      <alignment horizontal="center" vertical="center"/>
    </xf>
    <xf numFmtId="0" fontId="0" fillId="39" borderId="56" xfId="0" applyFill="1" applyBorder="1" applyAlignment="1">
      <alignment horizontal="center" vertical="center"/>
    </xf>
    <xf numFmtId="0" fontId="0" fillId="39" borderId="28" xfId="0" applyFill="1" applyBorder="1" applyAlignment="1">
      <alignment horizontal="center" vertical="center"/>
    </xf>
    <xf numFmtId="10" fontId="7" fillId="39" borderId="29" xfId="1" applyNumberFormat="1" applyFont="1" applyFill="1" applyBorder="1" applyAlignment="1">
      <alignment horizontal="center"/>
    </xf>
    <xf numFmtId="0" fontId="0" fillId="64" borderId="28" xfId="0" applyFill="1" applyBorder="1"/>
    <xf numFmtId="0" fontId="0" fillId="44" borderId="22" xfId="0" applyFill="1" applyBorder="1"/>
    <xf numFmtId="0" fontId="0" fillId="65" borderId="55" xfId="0" applyFill="1" applyBorder="1"/>
    <xf numFmtId="0" fontId="0" fillId="56" borderId="9" xfId="0" applyFill="1" applyBorder="1" applyAlignment="1">
      <alignment horizontal="center"/>
    </xf>
    <xf numFmtId="10" fontId="0" fillId="56" borderId="26" xfId="0" applyNumberFormat="1" applyFill="1" applyBorder="1" applyAlignment="1">
      <alignment horizontal="center" vertical="center"/>
    </xf>
    <xf numFmtId="0" fontId="0" fillId="56" borderId="19" xfId="0" applyFill="1" applyBorder="1"/>
    <xf numFmtId="0" fontId="0" fillId="57" borderId="60" xfId="0" applyFill="1" applyBorder="1" applyAlignment="1">
      <alignment horizontal="center"/>
    </xf>
    <xf numFmtId="0" fontId="4" fillId="44" borderId="22" xfId="0" applyFont="1" applyFill="1" applyBorder="1" applyAlignment="1">
      <alignment horizontal="center" vertical="center"/>
    </xf>
    <xf numFmtId="0" fontId="4" fillId="69" borderId="35" xfId="0" applyFont="1" applyFill="1" applyBorder="1" applyAlignment="1">
      <alignment horizontal="center" vertical="center"/>
    </xf>
    <xf numFmtId="0" fontId="4" fillId="69" borderId="1" xfId="0" applyFont="1" applyFill="1" applyBorder="1" applyAlignment="1">
      <alignment horizontal="center" vertical="center"/>
    </xf>
    <xf numFmtId="10" fontId="4" fillId="69" borderId="7" xfId="1" applyNumberFormat="1" applyFont="1" applyFill="1" applyBorder="1" applyAlignment="1">
      <alignment horizontal="center"/>
    </xf>
    <xf numFmtId="0" fontId="4" fillId="70" borderId="35" xfId="0" applyFont="1" applyFill="1" applyBorder="1" applyAlignment="1">
      <alignment horizontal="center" vertical="center"/>
    </xf>
    <xf numFmtId="10" fontId="4" fillId="70" borderId="7" xfId="1" applyNumberFormat="1" applyFont="1" applyFill="1" applyBorder="1" applyAlignment="1">
      <alignment horizontal="center"/>
    </xf>
    <xf numFmtId="0" fontId="4" fillId="70" borderId="55" xfId="0" applyFont="1" applyFill="1" applyBorder="1" applyAlignment="1">
      <alignment horizontal="center" vertical="center"/>
    </xf>
    <xf numFmtId="0" fontId="4" fillId="70" borderId="9" xfId="0" applyFont="1" applyFill="1" applyBorder="1" applyAlignment="1">
      <alignment horizontal="center" vertical="center"/>
    </xf>
    <xf numFmtId="10" fontId="4" fillId="70" borderId="26" xfId="1" applyNumberFormat="1" applyFont="1" applyFill="1" applyBorder="1" applyAlignment="1">
      <alignment horizontal="center"/>
    </xf>
    <xf numFmtId="0" fontId="4" fillId="70" borderId="58" xfId="0" applyFont="1" applyFill="1" applyBorder="1"/>
    <xf numFmtId="0" fontId="8" fillId="67" borderId="59" xfId="0" applyFont="1" applyFill="1" applyBorder="1" applyAlignment="1">
      <alignment horizontal="center" vertical="center"/>
    </xf>
    <xf numFmtId="0" fontId="8" fillId="68" borderId="7" xfId="0" applyFont="1" applyFill="1" applyBorder="1" applyAlignment="1">
      <alignment horizontal="center" vertical="center"/>
    </xf>
    <xf numFmtId="0" fontId="8" fillId="68" borderId="26" xfId="0" applyFont="1" applyFill="1" applyBorder="1" applyAlignment="1">
      <alignment horizontal="center" vertical="center"/>
    </xf>
    <xf numFmtId="0" fontId="8" fillId="67" borderId="23" xfId="0" applyFont="1" applyFill="1" applyBorder="1" applyAlignment="1">
      <alignment horizontal="center" vertical="center"/>
    </xf>
    <xf numFmtId="0" fontId="8" fillId="67" borderId="21" xfId="0" applyFont="1" applyFill="1" applyBorder="1" applyAlignment="1">
      <alignment horizontal="center" vertical="center"/>
    </xf>
    <xf numFmtId="10" fontId="8" fillId="67" borderId="59" xfId="1" applyNumberFormat="1" applyFont="1" applyFill="1" applyBorder="1" applyAlignment="1">
      <alignment horizontal="center" vertical="center"/>
    </xf>
    <xf numFmtId="0" fontId="8" fillId="68" borderId="18" xfId="0" applyFont="1" applyFill="1" applyBorder="1" applyAlignment="1">
      <alignment horizontal="center" vertical="center"/>
    </xf>
    <xf numFmtId="0" fontId="9" fillId="62" borderId="2" xfId="0" applyFont="1" applyFill="1" applyBorder="1" applyAlignment="1">
      <alignment horizontal="center"/>
    </xf>
    <xf numFmtId="0" fontId="9" fillId="62" borderId="18" xfId="0" applyFont="1" applyFill="1" applyBorder="1" applyAlignment="1">
      <alignment horizontal="center"/>
    </xf>
    <xf numFmtId="0" fontId="9" fillId="62" borderId="57" xfId="0" applyFont="1" applyFill="1" applyBorder="1" applyAlignment="1">
      <alignment horizontal="center"/>
    </xf>
    <xf numFmtId="0" fontId="9" fillId="62" borderId="37" xfId="0" applyFont="1" applyFill="1" applyBorder="1" applyAlignment="1">
      <alignment horizontal="center"/>
    </xf>
    <xf numFmtId="0" fontId="9" fillId="62" borderId="21" xfId="0" applyFont="1" applyFill="1" applyBorder="1" applyAlignment="1">
      <alignment horizontal="center"/>
    </xf>
    <xf numFmtId="10" fontId="9" fillId="62" borderId="31" xfId="1" applyNumberFormat="1" applyFont="1" applyFill="1" applyBorder="1" applyAlignment="1">
      <alignment horizontal="center"/>
    </xf>
    <xf numFmtId="10" fontId="2" fillId="64" borderId="5" xfId="1" applyNumberFormat="1" applyFont="1" applyFill="1" applyBorder="1" applyAlignment="1">
      <alignment horizontal="center"/>
    </xf>
    <xf numFmtId="10" fontId="2" fillId="64" borderId="7" xfId="1" applyNumberFormat="1" applyFont="1" applyFill="1" applyBorder="1" applyAlignment="1">
      <alignment horizontal="center"/>
    </xf>
    <xf numFmtId="10" fontId="2" fillId="65" borderId="26" xfId="1" applyNumberFormat="1" applyFont="1" applyFill="1" applyBorder="1" applyAlignment="1">
      <alignment horizontal="center"/>
    </xf>
    <xf numFmtId="10" fontId="2" fillId="65" borderId="29" xfId="1" applyNumberFormat="1" applyFont="1" applyFill="1" applyBorder="1" applyAlignment="1">
      <alignment horizontal="center"/>
    </xf>
    <xf numFmtId="0" fontId="9" fillId="63" borderId="90" xfId="0" applyFont="1" applyFill="1" applyBorder="1" applyAlignment="1">
      <alignment horizontal="center"/>
    </xf>
    <xf numFmtId="0" fontId="9" fillId="66" borderId="5" xfId="0" applyFont="1" applyFill="1" applyBorder="1" applyAlignment="1">
      <alignment horizontal="center"/>
    </xf>
    <xf numFmtId="0" fontId="9" fillId="66" borderId="7" xfId="0" applyFont="1" applyFill="1" applyBorder="1" applyAlignment="1">
      <alignment horizontal="center"/>
    </xf>
    <xf numFmtId="0" fontId="9" fillId="66" borderId="26" xfId="0" applyFont="1" applyFill="1" applyBorder="1" applyAlignment="1">
      <alignment horizontal="center"/>
    </xf>
    <xf numFmtId="0" fontId="9" fillId="63" borderId="21" xfId="0" applyFont="1" applyFill="1" applyBorder="1" applyAlignment="1">
      <alignment horizontal="center"/>
    </xf>
    <xf numFmtId="10" fontId="9" fillId="63" borderId="31" xfId="1" applyNumberFormat="1" applyFont="1" applyFill="1" applyBorder="1" applyAlignment="1">
      <alignment horizontal="center"/>
    </xf>
    <xf numFmtId="0" fontId="9" fillId="66" borderId="18" xfId="0" applyFont="1" applyFill="1" applyBorder="1"/>
    <xf numFmtId="0" fontId="9" fillId="37" borderId="59" xfId="0" applyFont="1" applyFill="1" applyBorder="1" applyAlignment="1">
      <alignment horizontal="center" vertical="center"/>
    </xf>
    <xf numFmtId="0" fontId="9" fillId="38" borderId="29" xfId="0" applyFont="1" applyFill="1" applyBorder="1" applyAlignment="1">
      <alignment horizontal="center" vertical="center"/>
    </xf>
    <xf numFmtId="0" fontId="9" fillId="38" borderId="7" xfId="0" applyFont="1" applyFill="1" applyBorder="1" applyAlignment="1">
      <alignment horizontal="center" vertical="center"/>
    </xf>
    <xf numFmtId="0" fontId="9" fillId="38" borderId="26" xfId="0" applyFont="1" applyFill="1" applyBorder="1" applyAlignment="1">
      <alignment horizontal="center" vertical="center"/>
    </xf>
    <xf numFmtId="0" fontId="9" fillId="37" borderId="23" xfId="0" applyFont="1" applyFill="1" applyBorder="1" applyAlignment="1">
      <alignment horizontal="center" vertical="center"/>
    </xf>
    <xf numFmtId="0" fontId="9" fillId="37" borderId="21" xfId="0" applyFont="1" applyFill="1" applyBorder="1" applyAlignment="1">
      <alignment horizontal="center" vertical="center"/>
    </xf>
    <xf numFmtId="10" fontId="9" fillId="37" borderId="59" xfId="1" applyNumberFormat="1" applyFont="1" applyFill="1" applyBorder="1" applyAlignment="1">
      <alignment horizontal="center" vertical="center"/>
    </xf>
    <xf numFmtId="0" fontId="9" fillId="38" borderId="18" xfId="0" applyFont="1" applyFill="1" applyBorder="1" applyAlignment="1">
      <alignment horizontal="center" vertical="center"/>
    </xf>
    <xf numFmtId="0" fontId="9" fillId="62" borderId="20" xfId="0" applyFont="1" applyFill="1" applyBorder="1" applyAlignment="1">
      <alignment horizontal="center" vertical="center"/>
    </xf>
    <xf numFmtId="0" fontId="0" fillId="60" borderId="6" xfId="0" applyFill="1" applyBorder="1" applyAlignment="1">
      <alignment horizontal="center" vertical="center"/>
    </xf>
    <xf numFmtId="0" fontId="9" fillId="63" borderId="20" xfId="0" applyFont="1" applyFill="1" applyBorder="1" applyAlignment="1">
      <alignment horizontal="center" vertical="center"/>
    </xf>
    <xf numFmtId="0" fontId="0" fillId="56" borderId="56" xfId="0" applyFill="1" applyBorder="1" applyAlignment="1">
      <alignment horizontal="center" vertical="center"/>
    </xf>
    <xf numFmtId="0" fontId="0" fillId="57" borderId="35" xfId="0" applyFill="1" applyBorder="1" applyAlignment="1">
      <alignment horizontal="center" vertical="center"/>
    </xf>
    <xf numFmtId="0" fontId="0" fillId="56" borderId="55" xfId="0" applyFill="1" applyBorder="1" applyAlignment="1">
      <alignment horizontal="center" vertical="center"/>
    </xf>
    <xf numFmtId="0" fontId="17" fillId="55" borderId="66" xfId="0" applyFont="1" applyFill="1" applyBorder="1" applyAlignment="1">
      <alignment horizontal="center" vertical="center"/>
    </xf>
    <xf numFmtId="0" fontId="18" fillId="55" borderId="77" xfId="0" applyFont="1" applyFill="1" applyBorder="1" applyAlignment="1">
      <alignment horizontal="center" vertical="center"/>
    </xf>
    <xf numFmtId="0" fontId="18" fillId="55" borderId="84" xfId="0" applyFont="1" applyFill="1" applyBorder="1" applyAlignment="1">
      <alignment horizontal="center" vertical="center"/>
    </xf>
    <xf numFmtId="0" fontId="18" fillId="55" borderId="81" xfId="0" applyFont="1" applyFill="1" applyBorder="1" applyAlignment="1">
      <alignment horizontal="center" vertical="center"/>
    </xf>
    <xf numFmtId="0" fontId="18" fillId="55" borderId="74" xfId="0" applyFont="1" applyFill="1" applyBorder="1" applyAlignment="1">
      <alignment horizontal="center" vertical="center"/>
    </xf>
    <xf numFmtId="0" fontId="0" fillId="64" borderId="56" xfId="0" applyFill="1" applyBorder="1" applyAlignment="1">
      <alignment horizontal="center" vertical="center"/>
    </xf>
    <xf numFmtId="0" fontId="0" fillId="65" borderId="35" xfId="0" applyFill="1" applyBorder="1" applyAlignment="1">
      <alignment horizontal="center" vertical="center"/>
    </xf>
    <xf numFmtId="0" fontId="0" fillId="64" borderId="35" xfId="0" applyFill="1" applyBorder="1" applyAlignment="1">
      <alignment horizontal="center" vertical="center"/>
    </xf>
    <xf numFmtId="0" fontId="0" fillId="65" borderId="55" xfId="0" applyFill="1" applyBorder="1" applyAlignment="1">
      <alignment horizontal="center" vertical="center"/>
    </xf>
    <xf numFmtId="0" fontId="0" fillId="44" borderId="93" xfId="0" applyFill="1" applyBorder="1"/>
    <xf numFmtId="10" fontId="4" fillId="44" borderId="22" xfId="0" applyNumberFormat="1" applyFont="1" applyFill="1" applyBorder="1" applyAlignment="1">
      <alignment vertical="center"/>
    </xf>
    <xf numFmtId="0" fontId="13" fillId="44" borderId="0" xfId="0" applyFont="1" applyFill="1"/>
    <xf numFmtId="0" fontId="8" fillId="52" borderId="18" xfId="0" applyFont="1" applyFill="1" applyBorder="1"/>
    <xf numFmtId="0" fontId="9" fillId="63" borderId="2" xfId="0" applyFont="1" applyFill="1" applyBorder="1" applyAlignment="1">
      <alignment horizontal="center"/>
    </xf>
    <xf numFmtId="0" fontId="9" fillId="66" borderId="38" xfId="0" applyFont="1" applyFill="1" applyBorder="1" applyAlignment="1">
      <alignment horizontal="center"/>
    </xf>
    <xf numFmtId="0" fontId="9" fillId="66" borderId="40" xfId="0" applyFont="1" applyFill="1" applyBorder="1" applyAlignment="1">
      <alignment horizontal="center"/>
    </xf>
    <xf numFmtId="0" fontId="9" fillId="66" borderId="58" xfId="0" applyFont="1" applyFill="1" applyBorder="1" applyAlignment="1">
      <alignment horizontal="center"/>
    </xf>
    <xf numFmtId="0" fontId="0" fillId="44" borderId="94" xfId="0" applyFill="1" applyBorder="1"/>
    <xf numFmtId="0" fontId="9" fillId="37" borderId="31" xfId="0" applyFont="1" applyFill="1" applyBorder="1" applyAlignment="1">
      <alignment horizontal="center" vertical="center"/>
    </xf>
    <xf numFmtId="0" fontId="9" fillId="38" borderId="39" xfId="0" applyFont="1" applyFill="1" applyBorder="1" applyAlignment="1">
      <alignment horizontal="center" vertical="center"/>
    </xf>
    <xf numFmtId="0" fontId="9" fillId="38" borderId="40" xfId="0" applyFont="1" applyFill="1" applyBorder="1" applyAlignment="1">
      <alignment horizontal="center" vertical="center"/>
    </xf>
    <xf numFmtId="0" fontId="9" fillId="38" borderId="58" xfId="0" applyFont="1" applyFill="1" applyBorder="1" applyAlignment="1">
      <alignment horizontal="center" vertical="center"/>
    </xf>
    <xf numFmtId="0" fontId="8" fillId="58" borderId="2" xfId="0" applyFont="1" applyFill="1" applyBorder="1" applyAlignment="1">
      <alignment horizontal="center" vertical="center"/>
    </xf>
    <xf numFmtId="0" fontId="8" fillId="58" borderId="23" xfId="0" applyFont="1" applyFill="1" applyBorder="1" applyAlignment="1">
      <alignment horizontal="center" vertical="center"/>
    </xf>
    <xf numFmtId="0" fontId="8" fillId="58" borderId="21" xfId="0" applyFont="1" applyFill="1" applyBorder="1" applyAlignment="1">
      <alignment horizontal="center"/>
    </xf>
    <xf numFmtId="0" fontId="8" fillId="58" borderId="59" xfId="0" applyFont="1" applyFill="1" applyBorder="1" applyAlignment="1">
      <alignment horizontal="center"/>
    </xf>
    <xf numFmtId="0" fontId="8" fillId="45" borderId="39" xfId="0" applyFont="1" applyFill="1" applyBorder="1" applyAlignment="1">
      <alignment horizontal="center" vertical="center"/>
    </xf>
    <xf numFmtId="0" fontId="8" fillId="45" borderId="40" xfId="0" applyFont="1" applyFill="1" applyBorder="1" applyAlignment="1">
      <alignment horizontal="center" vertical="center"/>
    </xf>
    <xf numFmtId="0" fontId="8" fillId="45" borderId="58" xfId="0" applyFont="1" applyFill="1" applyBorder="1" applyAlignment="1">
      <alignment horizontal="center" vertical="center"/>
    </xf>
    <xf numFmtId="0" fontId="8" fillId="67" borderId="31" xfId="0" applyFont="1" applyFill="1" applyBorder="1" applyAlignment="1">
      <alignment horizontal="center" vertical="center"/>
    </xf>
    <xf numFmtId="0" fontId="8" fillId="68" borderId="40" xfId="0" applyFont="1" applyFill="1" applyBorder="1" applyAlignment="1">
      <alignment horizontal="center" vertical="center"/>
    </xf>
    <xf numFmtId="0" fontId="8" fillId="68" borderId="58" xfId="0" applyFont="1" applyFill="1" applyBorder="1" applyAlignment="1">
      <alignment horizontal="center" vertical="center"/>
    </xf>
    <xf numFmtId="0" fontId="0" fillId="44" borderId="96" xfId="0" applyFill="1" applyBorder="1"/>
    <xf numFmtId="0" fontId="0" fillId="44" borderId="95" xfId="0" applyFill="1" applyBorder="1"/>
    <xf numFmtId="0" fontId="20" fillId="5" borderId="0" xfId="0" applyFont="1" applyFill="1" applyAlignment="1">
      <alignment horizontal="center"/>
    </xf>
    <xf numFmtId="0" fontId="0" fillId="65" borderId="46" xfId="0" applyFill="1" applyBorder="1" applyAlignment="1">
      <alignment horizontal="center" vertical="center"/>
    </xf>
    <xf numFmtId="0" fontId="0" fillId="65" borderId="48" xfId="0" applyFill="1" applyBorder="1" applyAlignment="1">
      <alignment horizontal="center" vertical="center"/>
    </xf>
    <xf numFmtId="0" fontId="4" fillId="71" borderId="46" xfId="0" applyFont="1" applyFill="1" applyBorder="1" applyAlignment="1">
      <alignment horizontal="center" vertical="center"/>
    </xf>
    <xf numFmtId="0" fontId="4" fillId="71" borderId="48" xfId="0" applyFont="1" applyFill="1" applyBorder="1" applyAlignment="1">
      <alignment horizontal="center" vertical="center"/>
    </xf>
    <xf numFmtId="0" fontId="21" fillId="5" borderId="0" xfId="0" applyFont="1" applyFill="1"/>
    <xf numFmtId="0" fontId="21" fillId="5" borderId="42" xfId="0" applyFont="1" applyFill="1" applyBorder="1"/>
    <xf numFmtId="0" fontId="3" fillId="44" borderId="0" xfId="0" applyFont="1" applyFill="1" applyAlignment="1">
      <alignment horizontal="center"/>
    </xf>
    <xf numFmtId="0" fontId="18" fillId="55" borderId="97" xfId="0" applyFont="1" applyFill="1" applyBorder="1" applyAlignment="1">
      <alignment horizontal="center"/>
    </xf>
    <xf numFmtId="0" fontId="0" fillId="61" borderId="33" xfId="0" applyFill="1" applyBorder="1" applyAlignment="1">
      <alignment horizontal="center" vertical="center"/>
    </xf>
    <xf numFmtId="0" fontId="0" fillId="61" borderId="91" xfId="0" applyFill="1" applyBorder="1" applyAlignment="1">
      <alignment horizontal="center"/>
    </xf>
    <xf numFmtId="10" fontId="0" fillId="61" borderId="64" xfId="1" applyNumberFormat="1" applyFont="1" applyFill="1" applyBorder="1" applyAlignment="1">
      <alignment horizontal="center"/>
    </xf>
    <xf numFmtId="0" fontId="0" fillId="61" borderId="19" xfId="0" applyFill="1" applyBorder="1"/>
    <xf numFmtId="0" fontId="0" fillId="61" borderId="98" xfId="0" applyFill="1" applyBorder="1" applyAlignment="1">
      <alignment horizontal="center" vertical="center"/>
    </xf>
    <xf numFmtId="0" fontId="0" fillId="48" borderId="99" xfId="0" applyFill="1" applyBorder="1" applyAlignment="1">
      <alignment horizontal="center"/>
    </xf>
    <xf numFmtId="165" fontId="15" fillId="13" borderId="6" xfId="0" applyNumberFormat="1" applyFont="1" applyFill="1" applyBorder="1" applyAlignment="1">
      <alignment horizontal="center" vertical="center"/>
    </xf>
    <xf numFmtId="0" fontId="4" fillId="48" borderId="4" xfId="0" applyFont="1" applyFill="1" applyBorder="1" applyAlignment="1">
      <alignment horizontal="center"/>
    </xf>
    <xf numFmtId="0" fontId="4" fillId="49" borderId="28" xfId="0" applyFont="1" applyFill="1" applyBorder="1" applyAlignment="1">
      <alignment horizontal="center"/>
    </xf>
    <xf numFmtId="10" fontId="4" fillId="49" borderId="89" xfId="0" applyNumberFormat="1" applyFont="1" applyFill="1" applyBorder="1" applyAlignment="1">
      <alignment horizontal="center" vertical="center"/>
    </xf>
    <xf numFmtId="0" fontId="4" fillId="48" borderId="27" xfId="0" applyFont="1" applyFill="1" applyBorder="1" applyAlignment="1">
      <alignment horizontal="center"/>
    </xf>
    <xf numFmtId="0" fontId="4" fillId="48" borderId="28" xfId="0" applyFont="1" applyFill="1" applyBorder="1" applyAlignment="1">
      <alignment horizontal="center"/>
    </xf>
    <xf numFmtId="10" fontId="4" fillId="48" borderId="7" xfId="0" applyNumberFormat="1" applyFont="1" applyFill="1" applyBorder="1" applyAlignment="1">
      <alignment horizontal="center" vertical="center"/>
    </xf>
    <xf numFmtId="10" fontId="4" fillId="48" borderId="88" xfId="0" applyNumberFormat="1" applyFont="1" applyFill="1" applyBorder="1" applyAlignment="1">
      <alignment horizontal="center" vertical="center"/>
    </xf>
    <xf numFmtId="0" fontId="4" fillId="49" borderId="9" xfId="0" applyFont="1" applyFill="1" applyBorder="1" applyAlignment="1">
      <alignment horizontal="center"/>
    </xf>
    <xf numFmtId="10" fontId="4" fillId="49" borderId="26" xfId="0" applyNumberFormat="1" applyFont="1" applyFill="1" applyBorder="1" applyAlignment="1">
      <alignment horizontal="center" vertical="center"/>
    </xf>
    <xf numFmtId="10" fontId="2" fillId="48" borderId="5" xfId="0" applyNumberFormat="1" applyFont="1" applyFill="1" applyBorder="1" applyAlignment="1">
      <alignment horizontal="center" vertical="center"/>
    </xf>
    <xf numFmtId="10" fontId="2" fillId="49" borderId="89" xfId="0" applyNumberFormat="1" applyFont="1" applyFill="1" applyBorder="1" applyAlignment="1">
      <alignment horizontal="center" vertical="center"/>
    </xf>
    <xf numFmtId="0" fontId="4" fillId="48" borderId="19" xfId="0" applyFont="1" applyFill="1" applyBorder="1"/>
    <xf numFmtId="0" fontId="4" fillId="73" borderId="19" xfId="0" applyFont="1" applyFill="1" applyBorder="1"/>
    <xf numFmtId="0" fontId="8" fillId="44" borderId="0" xfId="0" applyFont="1" applyFill="1"/>
    <xf numFmtId="0" fontId="23" fillId="49" borderId="27" xfId="0" applyFont="1" applyFill="1" applyBorder="1" applyAlignment="1">
      <alignment horizontal="center"/>
    </xf>
    <xf numFmtId="0" fontId="0" fillId="60" borderId="33" xfId="0" applyFill="1" applyBorder="1" applyAlignment="1">
      <alignment horizontal="center" vertical="center"/>
    </xf>
    <xf numFmtId="0" fontId="8" fillId="58" borderId="55" xfId="0" applyFont="1" applyFill="1" applyBorder="1" applyAlignment="1">
      <alignment horizontal="center" vertical="center"/>
    </xf>
    <xf numFmtId="0" fontId="0" fillId="57" borderId="56" xfId="0" applyFill="1" applyBorder="1" applyAlignment="1">
      <alignment horizontal="center" vertical="center"/>
    </xf>
    <xf numFmtId="0" fontId="0" fillId="56" borderId="35" xfId="0" applyFill="1" applyBorder="1" applyAlignment="1">
      <alignment horizontal="center" vertical="center"/>
    </xf>
    <xf numFmtId="0" fontId="18" fillId="55" borderId="80" xfId="0" applyFont="1" applyFill="1" applyBorder="1" applyAlignment="1">
      <alignment horizontal="center" vertical="center"/>
    </xf>
    <xf numFmtId="0" fontId="0" fillId="44" borderId="90" xfId="0" applyFill="1" applyBorder="1" applyAlignment="1">
      <alignment horizontal="center" vertical="center"/>
    </xf>
    <xf numFmtId="2" fontId="0" fillId="39" borderId="8" xfId="0" applyNumberFormat="1" applyFill="1" applyBorder="1" applyAlignment="1">
      <alignment horizontal="center" vertical="center"/>
    </xf>
    <xf numFmtId="2" fontId="0" fillId="39" borderId="6" xfId="0" applyNumberFormat="1" applyFill="1" applyBorder="1" applyAlignment="1">
      <alignment horizontal="center" vertical="center"/>
    </xf>
    <xf numFmtId="2" fontId="0" fillId="49" borderId="9" xfId="0" applyNumberFormat="1" applyFill="1" applyBorder="1" applyAlignment="1">
      <alignment horizontal="center"/>
    </xf>
    <xf numFmtId="2" fontId="4" fillId="49" borderId="27" xfId="0" applyNumberFormat="1" applyFont="1" applyFill="1" applyBorder="1" applyAlignment="1">
      <alignment horizontal="center"/>
    </xf>
    <xf numFmtId="2" fontId="4" fillId="49" borderId="9" xfId="0" applyNumberFormat="1" applyFont="1" applyFill="1" applyBorder="1" applyAlignment="1">
      <alignment horizontal="center"/>
    </xf>
    <xf numFmtId="2" fontId="0" fillId="40" borderId="6" xfId="0" applyNumberFormat="1" applyFill="1" applyBorder="1" applyAlignment="1">
      <alignment horizontal="center" vertical="center"/>
    </xf>
    <xf numFmtId="0" fontId="0" fillId="40" borderId="99" xfId="0" applyFill="1" applyBorder="1" applyAlignment="1">
      <alignment horizontal="center" vertical="center"/>
    </xf>
    <xf numFmtId="0" fontId="0" fillId="40" borderId="4" xfId="0" applyFill="1" applyBorder="1" applyAlignment="1">
      <alignment horizontal="center" vertical="center"/>
    </xf>
    <xf numFmtId="2" fontId="0" fillId="74" borderId="6" xfId="0" applyNumberFormat="1" applyFill="1" applyBorder="1" applyAlignment="1">
      <alignment horizontal="center"/>
    </xf>
    <xf numFmtId="0" fontId="0" fillId="74" borderId="28" xfId="0" applyFill="1" applyBorder="1" applyAlignment="1">
      <alignment horizontal="center"/>
    </xf>
    <xf numFmtId="10" fontId="0" fillId="74" borderId="89" xfId="0" applyNumberFormat="1" applyFill="1" applyBorder="1" applyAlignment="1">
      <alignment horizontal="center" vertical="center"/>
    </xf>
    <xf numFmtId="0" fontId="0" fillId="74" borderId="27" xfId="0" applyFill="1" applyBorder="1" applyAlignment="1">
      <alignment horizontal="center"/>
    </xf>
    <xf numFmtId="10" fontId="0" fillId="74" borderId="88" xfId="0" applyNumberFormat="1" applyFill="1" applyBorder="1" applyAlignment="1">
      <alignment horizontal="center" vertical="center"/>
    </xf>
    <xf numFmtId="0" fontId="9" fillId="37" borderId="21" xfId="0" applyFont="1" applyFill="1" applyBorder="1" applyAlignment="1">
      <alignment horizontal="center"/>
    </xf>
    <xf numFmtId="0" fontId="0" fillId="39" borderId="28" xfId="0" applyFill="1" applyBorder="1" applyAlignment="1">
      <alignment horizontal="center"/>
    </xf>
    <xf numFmtId="0" fontId="0" fillId="40" borderId="1" xfId="0" applyFill="1" applyBorder="1" applyAlignment="1">
      <alignment horizontal="center"/>
    </xf>
    <xf numFmtId="0" fontId="0" fillId="39" borderId="1" xfId="0" applyFill="1" applyBorder="1" applyAlignment="1">
      <alignment horizontal="center"/>
    </xf>
    <xf numFmtId="0" fontId="0" fillId="40" borderId="9" xfId="0" applyFill="1" applyBorder="1" applyAlignment="1">
      <alignment horizontal="center"/>
    </xf>
    <xf numFmtId="0" fontId="8" fillId="67" borderId="21" xfId="0" applyFont="1" applyFill="1" applyBorder="1" applyAlignment="1">
      <alignment horizontal="center"/>
    </xf>
    <xf numFmtId="0" fontId="4" fillId="70" borderId="1" xfId="0" applyFont="1" applyFill="1" applyBorder="1" applyAlignment="1">
      <alignment horizontal="center"/>
    </xf>
    <xf numFmtId="0" fontId="4" fillId="69" borderId="1" xfId="0" applyFont="1" applyFill="1" applyBorder="1" applyAlignment="1">
      <alignment horizontal="center"/>
    </xf>
    <xf numFmtId="0" fontId="4" fillId="70" borderId="9" xfId="0" applyFont="1" applyFill="1" applyBorder="1" applyAlignment="1">
      <alignment horizontal="center"/>
    </xf>
    <xf numFmtId="0" fontId="0" fillId="64" borderId="28" xfId="0" applyFill="1" applyBorder="1" applyAlignment="1">
      <alignment horizontal="center"/>
    </xf>
    <xf numFmtId="0" fontId="0" fillId="65" borderId="1" xfId="0" applyFill="1" applyBorder="1" applyAlignment="1">
      <alignment horizontal="center"/>
    </xf>
    <xf numFmtId="0" fontId="0" fillId="64" borderId="1" xfId="0" applyFill="1" applyBorder="1" applyAlignment="1">
      <alignment horizontal="center"/>
    </xf>
    <xf numFmtId="0" fontId="0" fillId="65" borderId="55" xfId="0" applyFill="1" applyBorder="1" applyAlignment="1">
      <alignment horizontal="center"/>
    </xf>
    <xf numFmtId="0" fontId="8" fillId="75" borderId="26" xfId="0" applyFont="1" applyFill="1" applyBorder="1" applyAlignment="1">
      <alignment horizontal="center" vertical="center"/>
    </xf>
    <xf numFmtId="0" fontId="8" fillId="75" borderId="55" xfId="0" applyFont="1" applyFill="1" applyBorder="1" applyAlignment="1">
      <alignment horizontal="center"/>
    </xf>
    <xf numFmtId="0" fontId="8" fillId="75" borderId="9" xfId="0" applyFont="1" applyFill="1" applyBorder="1" applyAlignment="1">
      <alignment horizontal="center"/>
    </xf>
    <xf numFmtId="0" fontId="8" fillId="75" borderId="88" xfId="0" applyFont="1" applyFill="1" applyBorder="1" applyAlignment="1">
      <alignment horizontal="center"/>
    </xf>
    <xf numFmtId="0" fontId="8" fillId="76" borderId="29" xfId="0" applyFont="1" applyFill="1" applyBorder="1" applyAlignment="1">
      <alignment horizontal="center" vertical="center"/>
    </xf>
    <xf numFmtId="0" fontId="8" fillId="76" borderId="7" xfId="0" applyFont="1" applyFill="1" applyBorder="1" applyAlignment="1">
      <alignment horizontal="center" vertical="center"/>
    </xf>
    <xf numFmtId="0" fontId="8" fillId="76" borderId="26" xfId="0" applyFont="1" applyFill="1" applyBorder="1" applyAlignment="1">
      <alignment horizontal="center" vertical="center"/>
    </xf>
    <xf numFmtId="10" fontId="0" fillId="77" borderId="29" xfId="0" applyNumberFormat="1" applyFill="1" applyBorder="1" applyAlignment="1">
      <alignment horizontal="center" vertical="center"/>
    </xf>
    <xf numFmtId="10" fontId="0" fillId="78" borderId="29" xfId="0" applyNumberFormat="1" applyFill="1" applyBorder="1" applyAlignment="1">
      <alignment horizontal="center" vertical="center"/>
    </xf>
    <xf numFmtId="10" fontId="0" fillId="78" borderId="26" xfId="0" applyNumberFormat="1" applyFill="1" applyBorder="1" applyAlignment="1">
      <alignment horizontal="center" vertical="center"/>
    </xf>
    <xf numFmtId="0" fontId="0" fillId="78" borderId="9" xfId="0" applyFill="1" applyBorder="1" applyAlignment="1">
      <alignment horizontal="center"/>
    </xf>
    <xf numFmtId="0" fontId="0" fillId="78" borderId="19" xfId="0" applyFill="1" applyBorder="1"/>
    <xf numFmtId="0" fontId="8" fillId="79" borderId="2" xfId="0" applyFont="1" applyFill="1" applyBorder="1" applyAlignment="1">
      <alignment horizontal="center" vertical="center"/>
    </xf>
    <xf numFmtId="0" fontId="8" fillId="79" borderId="2" xfId="0" applyFont="1" applyFill="1" applyBorder="1" applyAlignment="1">
      <alignment horizontal="center"/>
    </xf>
    <xf numFmtId="0" fontId="8" fillId="80" borderId="18" xfId="0" applyFont="1" applyFill="1" applyBorder="1" applyAlignment="1">
      <alignment horizontal="center" vertical="center"/>
    </xf>
    <xf numFmtId="0" fontId="8" fillId="80" borderId="57" xfId="0" applyFont="1" applyFill="1" applyBorder="1" applyAlignment="1">
      <alignment horizontal="center" vertical="center"/>
    </xf>
    <xf numFmtId="0" fontId="8" fillId="80" borderId="37" xfId="0" applyFont="1" applyFill="1" applyBorder="1" applyAlignment="1">
      <alignment horizontal="center" vertical="center"/>
    </xf>
    <xf numFmtId="0" fontId="2" fillId="81" borderId="4" xfId="0" applyFont="1" applyFill="1" applyBorder="1" applyAlignment="1">
      <alignment horizontal="center"/>
    </xf>
    <xf numFmtId="10" fontId="2" fillId="81" borderId="5" xfId="0" applyNumberFormat="1" applyFont="1" applyFill="1" applyBorder="1" applyAlignment="1">
      <alignment horizontal="center" vertical="center"/>
    </xf>
    <xf numFmtId="2" fontId="2" fillId="82" borderId="27" xfId="0" applyNumberFormat="1" applyFont="1" applyFill="1" applyBorder="1" applyAlignment="1">
      <alignment horizontal="center"/>
    </xf>
    <xf numFmtId="0" fontId="2" fillId="82" borderId="28" xfId="0" applyFont="1" applyFill="1" applyBorder="1" applyAlignment="1">
      <alignment horizontal="center"/>
    </xf>
    <xf numFmtId="10" fontId="2" fillId="82" borderId="89" xfId="0" applyNumberFormat="1" applyFont="1" applyFill="1" applyBorder="1" applyAlignment="1">
      <alignment horizontal="center" vertical="center"/>
    </xf>
    <xf numFmtId="0" fontId="2" fillId="81" borderId="27" xfId="0" applyFont="1" applyFill="1" applyBorder="1" applyAlignment="1">
      <alignment horizontal="center"/>
    </xf>
    <xf numFmtId="0" fontId="2" fillId="81" borderId="28" xfId="0" applyFont="1" applyFill="1" applyBorder="1" applyAlignment="1">
      <alignment horizontal="center"/>
    </xf>
    <xf numFmtId="10" fontId="2" fillId="81" borderId="7" xfId="0" applyNumberFormat="1" applyFont="1" applyFill="1" applyBorder="1" applyAlignment="1">
      <alignment horizontal="center" vertical="center"/>
    </xf>
    <xf numFmtId="0" fontId="2" fillId="82" borderId="27" xfId="0" applyFont="1" applyFill="1" applyBorder="1" applyAlignment="1">
      <alignment horizontal="center"/>
    </xf>
    <xf numFmtId="10" fontId="2" fillId="81" borderId="88" xfId="0" applyNumberFormat="1" applyFont="1" applyFill="1" applyBorder="1" applyAlignment="1">
      <alignment horizontal="center" vertical="center"/>
    </xf>
    <xf numFmtId="2" fontId="2" fillId="82" borderId="9" xfId="0" applyNumberFormat="1" applyFont="1" applyFill="1" applyBorder="1" applyAlignment="1">
      <alignment horizontal="center"/>
    </xf>
    <xf numFmtId="0" fontId="2" fillId="82" borderId="9" xfId="0" applyFont="1" applyFill="1" applyBorder="1" applyAlignment="1">
      <alignment horizontal="center"/>
    </xf>
    <xf numFmtId="10" fontId="2" fillId="82" borderId="26" xfId="0" applyNumberFormat="1" applyFont="1" applyFill="1" applyBorder="1" applyAlignment="1">
      <alignment horizontal="center" vertical="center"/>
    </xf>
    <xf numFmtId="0" fontId="8" fillId="79" borderId="2" xfId="0" applyFont="1" applyFill="1" applyBorder="1"/>
    <xf numFmtId="0" fontId="2" fillId="82" borderId="19" xfId="0" applyFont="1" applyFill="1" applyBorder="1"/>
    <xf numFmtId="0" fontId="2" fillId="44" borderId="0" xfId="0" applyFont="1" applyFill="1" applyAlignment="1">
      <alignment horizontal="center" vertical="center"/>
    </xf>
    <xf numFmtId="0" fontId="8" fillId="83" borderId="2" xfId="0" applyFont="1" applyFill="1" applyBorder="1" applyAlignment="1">
      <alignment horizontal="center" vertical="center"/>
    </xf>
    <xf numFmtId="0" fontId="8" fillId="83" borderId="23" xfId="0" applyFont="1" applyFill="1" applyBorder="1" applyAlignment="1">
      <alignment horizontal="center"/>
    </xf>
    <xf numFmtId="0" fontId="8" fillId="83" borderId="21" xfId="0" applyFont="1" applyFill="1" applyBorder="1" applyAlignment="1">
      <alignment horizontal="center"/>
    </xf>
    <xf numFmtId="0" fontId="8" fillId="83" borderId="59" xfId="0" applyFont="1" applyFill="1" applyBorder="1" applyAlignment="1">
      <alignment horizontal="center"/>
    </xf>
    <xf numFmtId="0" fontId="8" fillId="84" borderId="29" xfId="0" applyFont="1" applyFill="1" applyBorder="1" applyAlignment="1">
      <alignment horizontal="center" vertical="center"/>
    </xf>
    <xf numFmtId="0" fontId="8" fillId="84" borderId="7" xfId="0" applyFont="1" applyFill="1" applyBorder="1" applyAlignment="1">
      <alignment horizontal="center" vertical="center"/>
    </xf>
    <xf numFmtId="0" fontId="8" fillId="84" borderId="26" xfId="0" applyFont="1" applyFill="1" applyBorder="1" applyAlignment="1">
      <alignment horizontal="center" vertical="center"/>
    </xf>
    <xf numFmtId="0" fontId="0" fillId="85" borderId="56" xfId="0" applyFill="1" applyBorder="1" applyAlignment="1">
      <alignment horizontal="center"/>
    </xf>
    <xf numFmtId="0" fontId="0" fillId="85" borderId="28" xfId="0" applyFill="1" applyBorder="1" applyAlignment="1">
      <alignment horizontal="center"/>
    </xf>
    <xf numFmtId="10" fontId="0" fillId="85" borderId="60" xfId="0" applyNumberFormat="1" applyFill="1" applyBorder="1" applyAlignment="1">
      <alignment horizontal="center" vertical="center"/>
    </xf>
    <xf numFmtId="0" fontId="0" fillId="85" borderId="35" xfId="0" applyFill="1" applyBorder="1" applyAlignment="1">
      <alignment horizontal="center"/>
    </xf>
    <xf numFmtId="0" fontId="0" fillId="85" borderId="1" xfId="0" applyFill="1" applyBorder="1" applyAlignment="1">
      <alignment horizontal="center"/>
    </xf>
    <xf numFmtId="10" fontId="0" fillId="85" borderId="7" xfId="0" applyNumberFormat="1" applyFill="1" applyBorder="1" applyAlignment="1">
      <alignment horizontal="center" vertical="center"/>
    </xf>
    <xf numFmtId="0" fontId="0" fillId="86" borderId="35" xfId="0" applyFill="1" applyBorder="1" applyAlignment="1">
      <alignment horizontal="center"/>
    </xf>
    <xf numFmtId="0" fontId="0" fillId="86" borderId="1" xfId="0" applyFill="1" applyBorder="1" applyAlignment="1">
      <alignment horizontal="center"/>
    </xf>
    <xf numFmtId="10" fontId="0" fillId="86" borderId="7" xfId="0" applyNumberFormat="1" applyFill="1" applyBorder="1" applyAlignment="1">
      <alignment horizontal="center" vertical="center"/>
    </xf>
    <xf numFmtId="0" fontId="0" fillId="86" borderId="55" xfId="0" applyFill="1" applyBorder="1" applyAlignment="1">
      <alignment horizontal="center"/>
    </xf>
    <xf numFmtId="0" fontId="0" fillId="86" borderId="9" xfId="0" applyFill="1" applyBorder="1" applyAlignment="1">
      <alignment horizontal="center"/>
    </xf>
    <xf numFmtId="10" fontId="2" fillId="86" borderId="30" xfId="0" applyNumberFormat="1" applyFont="1" applyFill="1" applyBorder="1" applyAlignment="1">
      <alignment horizontal="center" vertical="center"/>
    </xf>
    <xf numFmtId="0" fontId="0" fillId="86" borderId="19" xfId="0" applyFill="1" applyBorder="1"/>
    <xf numFmtId="0" fontId="8" fillId="83" borderId="18" xfId="0" applyFont="1" applyFill="1" applyBorder="1"/>
    <xf numFmtId="0" fontId="4" fillId="34" borderId="100" xfId="0" applyFont="1" applyFill="1" applyBorder="1" applyAlignment="1">
      <alignment horizontal="center" vertical="center"/>
    </xf>
    <xf numFmtId="0" fontId="4" fillId="35" borderId="35" xfId="0" applyFont="1" applyFill="1" applyBorder="1" applyAlignment="1">
      <alignment horizontal="center" vertical="center"/>
    </xf>
    <xf numFmtId="0" fontId="4" fillId="34" borderId="35" xfId="0" applyFont="1" applyFill="1" applyBorder="1" applyAlignment="1">
      <alignment horizontal="center" vertical="center"/>
    </xf>
    <xf numFmtId="0" fontId="1" fillId="31" borderId="18" xfId="0" applyFont="1" applyFill="1" applyBorder="1" applyAlignment="1">
      <alignment horizontal="center" vertical="center"/>
    </xf>
    <xf numFmtId="0" fontId="1" fillId="31" borderId="57" xfId="0" applyFont="1" applyFill="1" applyBorder="1" applyAlignment="1">
      <alignment horizontal="center" vertical="center"/>
    </xf>
    <xf numFmtId="0" fontId="0" fillId="39" borderId="100" xfId="0" applyFill="1" applyBorder="1" applyAlignment="1">
      <alignment horizontal="center" vertical="center"/>
    </xf>
    <xf numFmtId="2" fontId="0" fillId="40" borderId="35" xfId="0" applyNumberFormat="1" applyFill="1" applyBorder="1" applyAlignment="1">
      <alignment horizontal="center" vertical="center"/>
    </xf>
    <xf numFmtId="0" fontId="16" fillId="51" borderId="18" xfId="0" applyFont="1" applyFill="1" applyBorder="1" applyAlignment="1">
      <alignment horizontal="center" vertical="center"/>
    </xf>
    <xf numFmtId="0" fontId="16" fillId="51" borderId="57" xfId="0" applyFont="1" applyFill="1" applyBorder="1" applyAlignment="1">
      <alignment horizontal="center" vertical="center"/>
    </xf>
    <xf numFmtId="0" fontId="0" fillId="56" borderId="102" xfId="0" applyFill="1" applyBorder="1" applyAlignment="1">
      <alignment horizontal="center"/>
    </xf>
    <xf numFmtId="0" fontId="0" fillId="44" borderId="101" xfId="0" applyFill="1" applyBorder="1" applyAlignment="1">
      <alignment horizontal="center"/>
    </xf>
    <xf numFmtId="0" fontId="1" fillId="67" borderId="103" xfId="0" applyFont="1" applyFill="1" applyBorder="1" applyAlignment="1">
      <alignment horizontal="center" vertical="center"/>
    </xf>
    <xf numFmtId="0" fontId="1" fillId="67" borderId="105" xfId="0" applyFont="1" applyFill="1" applyBorder="1" applyAlignment="1">
      <alignment horizontal="center"/>
    </xf>
    <xf numFmtId="0" fontId="1" fillId="67" borderId="104" xfId="0" applyFont="1" applyFill="1" applyBorder="1" applyAlignment="1">
      <alignment horizontal="center"/>
    </xf>
    <xf numFmtId="0" fontId="1" fillId="67" borderId="106" xfId="0" applyFont="1" applyFill="1" applyBorder="1" applyAlignment="1">
      <alignment horizontal="center"/>
    </xf>
    <xf numFmtId="0" fontId="4" fillId="88" borderId="108" xfId="0" applyFont="1" applyFill="1" applyBorder="1" applyAlignment="1">
      <alignment horizontal="center"/>
    </xf>
    <xf numFmtId="10" fontId="4" fillId="88" borderId="109" xfId="0" applyNumberFormat="1" applyFont="1" applyFill="1" applyBorder="1" applyAlignment="1">
      <alignment horizontal="center" vertical="center"/>
    </xf>
    <xf numFmtId="0" fontId="4" fillId="89" borderId="111" xfId="0" applyFont="1" applyFill="1" applyBorder="1" applyAlignment="1">
      <alignment horizontal="center"/>
    </xf>
    <xf numFmtId="0" fontId="4" fillId="89" borderId="112" xfId="0" applyFont="1" applyFill="1" applyBorder="1" applyAlignment="1">
      <alignment horizontal="center"/>
    </xf>
    <xf numFmtId="10" fontId="4" fillId="89" borderId="113" xfId="0" applyNumberFormat="1" applyFont="1" applyFill="1" applyBorder="1" applyAlignment="1">
      <alignment horizontal="center" vertical="center"/>
    </xf>
    <xf numFmtId="0" fontId="4" fillId="88" borderId="111" xfId="0" applyFont="1" applyFill="1" applyBorder="1" applyAlignment="1">
      <alignment horizontal="center"/>
    </xf>
    <xf numFmtId="0" fontId="4" fillId="88" borderId="112" xfId="0" applyFont="1" applyFill="1" applyBorder="1" applyAlignment="1">
      <alignment horizontal="center"/>
    </xf>
    <xf numFmtId="10" fontId="4" fillId="88" borderId="113" xfId="0" applyNumberFormat="1" applyFont="1" applyFill="1" applyBorder="1" applyAlignment="1">
      <alignment horizontal="center" vertical="center"/>
    </xf>
    <xf numFmtId="0" fontId="4" fillId="88" borderId="114" xfId="0" applyFont="1" applyFill="1" applyBorder="1" applyAlignment="1">
      <alignment horizontal="center"/>
    </xf>
    <xf numFmtId="0" fontId="4" fillId="88" borderId="115" xfId="0" applyFont="1" applyFill="1" applyBorder="1"/>
    <xf numFmtId="0" fontId="1" fillId="67" borderId="107" xfId="0" applyFont="1" applyFill="1" applyBorder="1"/>
    <xf numFmtId="0" fontId="1" fillId="87" borderId="117" xfId="0" applyFont="1" applyFill="1" applyBorder="1" applyAlignment="1">
      <alignment horizontal="center" vertical="center"/>
    </xf>
    <xf numFmtId="0" fontId="1" fillId="87" borderId="116" xfId="0" applyFont="1" applyFill="1" applyBorder="1" applyAlignment="1">
      <alignment horizontal="center" vertical="center"/>
    </xf>
    <xf numFmtId="0" fontId="1" fillId="87" borderId="110" xfId="0" applyFont="1" applyFill="1" applyBorder="1" applyAlignment="1">
      <alignment horizontal="center" vertical="center"/>
    </xf>
    <xf numFmtId="0" fontId="9" fillId="90" borderId="2" xfId="0" applyFont="1" applyFill="1" applyBorder="1" applyAlignment="1">
      <alignment horizontal="center"/>
    </xf>
    <xf numFmtId="0" fontId="9" fillId="90" borderId="20" xfId="0" applyFont="1" applyFill="1" applyBorder="1" applyAlignment="1">
      <alignment horizontal="center" vertical="center"/>
    </xf>
    <xf numFmtId="0" fontId="9" fillId="90" borderId="21" xfId="0" applyFont="1" applyFill="1" applyBorder="1" applyAlignment="1">
      <alignment horizontal="center"/>
    </xf>
    <xf numFmtId="10" fontId="9" fillId="90" borderId="31" xfId="1" applyNumberFormat="1" applyFont="1" applyFill="1" applyBorder="1" applyAlignment="1">
      <alignment horizontal="center"/>
    </xf>
    <xf numFmtId="0" fontId="9" fillId="91" borderId="18" xfId="0" applyFont="1" applyFill="1" applyBorder="1" applyAlignment="1">
      <alignment horizontal="center"/>
    </xf>
    <xf numFmtId="0" fontId="9" fillId="91" borderId="57" xfId="0" applyFont="1" applyFill="1" applyBorder="1" applyAlignment="1">
      <alignment horizontal="center"/>
    </xf>
    <xf numFmtId="0" fontId="9" fillId="91" borderId="37" xfId="0" applyFont="1" applyFill="1" applyBorder="1" applyAlignment="1">
      <alignment horizontal="center"/>
    </xf>
    <xf numFmtId="0" fontId="0" fillId="92" borderId="1" xfId="0" applyFill="1" applyBorder="1" applyAlignment="1">
      <alignment horizontal="center"/>
    </xf>
    <xf numFmtId="10" fontId="0" fillId="92" borderId="40" xfId="1" applyNumberFormat="1" applyFont="1" applyFill="1" applyBorder="1" applyAlignment="1">
      <alignment horizontal="center"/>
    </xf>
    <xf numFmtId="0" fontId="0" fillId="93" borderId="6" xfId="0" applyFill="1" applyBorder="1" applyAlignment="1">
      <alignment horizontal="center" vertical="center"/>
    </xf>
    <xf numFmtId="0" fontId="0" fillId="93" borderId="1" xfId="0" applyFill="1" applyBorder="1" applyAlignment="1">
      <alignment horizontal="center"/>
    </xf>
    <xf numFmtId="10" fontId="0" fillId="93" borderId="40" xfId="1" applyNumberFormat="1" applyFont="1" applyFill="1" applyBorder="1" applyAlignment="1">
      <alignment horizontal="center"/>
    </xf>
    <xf numFmtId="0" fontId="0" fillId="93" borderId="33" xfId="0" applyFill="1" applyBorder="1" applyAlignment="1">
      <alignment horizontal="center" vertical="center"/>
    </xf>
    <xf numFmtId="0" fontId="0" fillId="93" borderId="91" xfId="0" applyFill="1" applyBorder="1" applyAlignment="1">
      <alignment horizontal="center"/>
    </xf>
    <xf numFmtId="10" fontId="0" fillId="93" borderId="64" xfId="1" applyNumberFormat="1" applyFont="1" applyFill="1" applyBorder="1" applyAlignment="1">
      <alignment horizontal="center"/>
    </xf>
    <xf numFmtId="0" fontId="0" fillId="93" borderId="19" xfId="0" applyFill="1" applyBorder="1"/>
    <xf numFmtId="0" fontId="0" fillId="90" borderId="18" xfId="0" applyFill="1" applyBorder="1"/>
    <xf numFmtId="0" fontId="4" fillId="44" borderId="0" xfId="0" applyFont="1" applyFill="1" applyAlignment="1">
      <alignment horizontal="center"/>
    </xf>
    <xf numFmtId="0" fontId="9" fillId="41" borderId="5" xfId="0" applyFont="1" applyFill="1" applyBorder="1" applyAlignment="1">
      <alignment horizontal="center"/>
    </xf>
    <xf numFmtId="0" fontId="9" fillId="41" borderId="7" xfId="0" applyFont="1" applyFill="1" applyBorder="1" applyAlignment="1">
      <alignment horizontal="center"/>
    </xf>
    <xf numFmtId="0" fontId="9" fillId="41" borderId="26" xfId="0" applyFont="1" applyFill="1" applyBorder="1" applyAlignment="1">
      <alignment horizontal="center"/>
    </xf>
    <xf numFmtId="0" fontId="0" fillId="13" borderId="56" xfId="0" applyFill="1" applyBorder="1" applyAlignment="1">
      <alignment horizontal="center" vertical="center"/>
    </xf>
    <xf numFmtId="0" fontId="0" fillId="13" borderId="28" xfId="0" applyFill="1" applyBorder="1" applyAlignment="1">
      <alignment horizontal="center"/>
    </xf>
    <xf numFmtId="10" fontId="2" fillId="13" borderId="5" xfId="1" applyNumberFormat="1" applyFont="1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22" fillId="13" borderId="35" xfId="0" applyFont="1" applyFill="1" applyBorder="1" applyAlignment="1">
      <alignment horizontal="center" vertical="center"/>
    </xf>
    <xf numFmtId="10" fontId="2" fillId="13" borderId="7" xfId="1" applyNumberFormat="1" applyFont="1" applyFill="1" applyBorder="1" applyAlignment="1">
      <alignment horizontal="center"/>
    </xf>
    <xf numFmtId="0" fontId="0" fillId="12" borderId="35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/>
    </xf>
    <xf numFmtId="10" fontId="2" fillId="12" borderId="29" xfId="1" applyNumberFormat="1" applyFont="1" applyFill="1" applyBorder="1" applyAlignment="1">
      <alignment horizontal="center"/>
    </xf>
    <xf numFmtId="0" fontId="0" fillId="12" borderId="55" xfId="0" applyFill="1" applyBorder="1" applyAlignment="1">
      <alignment horizontal="center" vertical="center"/>
    </xf>
    <xf numFmtId="0" fontId="0" fillId="12" borderId="55" xfId="0" applyFill="1" applyBorder="1" applyAlignment="1">
      <alignment horizontal="center"/>
    </xf>
    <xf numFmtId="10" fontId="2" fillId="12" borderId="26" xfId="1" applyNumberFormat="1" applyFont="1" applyFill="1" applyBorder="1" applyAlignment="1">
      <alignment horizontal="center"/>
    </xf>
    <xf numFmtId="0" fontId="8" fillId="2" borderId="20" xfId="0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/>
    </xf>
    <xf numFmtId="10" fontId="8" fillId="2" borderId="31" xfId="1" applyNumberFormat="1" applyFont="1" applyFill="1" applyBorder="1" applyAlignment="1">
      <alignment horizontal="center"/>
    </xf>
    <xf numFmtId="0" fontId="8" fillId="2" borderId="18" xfId="0" applyFont="1" applyFill="1" applyBorder="1"/>
    <xf numFmtId="0" fontId="9" fillId="43" borderId="23" xfId="0" applyFont="1" applyFill="1" applyBorder="1" applyAlignment="1">
      <alignment horizontal="center" vertical="center"/>
    </xf>
    <xf numFmtId="0" fontId="9" fillId="43" borderId="21" xfId="0" applyFont="1" applyFill="1" applyBorder="1" applyAlignment="1">
      <alignment horizontal="center"/>
    </xf>
    <xf numFmtId="10" fontId="9" fillId="43" borderId="59" xfId="1" applyNumberFormat="1" applyFont="1" applyFill="1" applyBorder="1" applyAlignment="1">
      <alignment horizontal="center" vertical="center"/>
    </xf>
    <xf numFmtId="0" fontId="9" fillId="94" borderId="29" xfId="0" applyFont="1" applyFill="1" applyBorder="1" applyAlignment="1">
      <alignment horizontal="center" vertical="center"/>
    </xf>
    <xf numFmtId="0" fontId="9" fillId="94" borderId="7" xfId="0" applyFont="1" applyFill="1" applyBorder="1" applyAlignment="1">
      <alignment horizontal="center" vertical="center"/>
    </xf>
    <xf numFmtId="0" fontId="9" fillId="94" borderId="26" xfId="0" applyFont="1" applyFill="1" applyBorder="1" applyAlignment="1">
      <alignment horizontal="center" vertical="center"/>
    </xf>
    <xf numFmtId="0" fontId="0" fillId="95" borderId="56" xfId="0" applyFill="1" applyBorder="1" applyAlignment="1">
      <alignment horizontal="center" vertical="center"/>
    </xf>
    <xf numFmtId="0" fontId="0" fillId="95" borderId="28" xfId="0" applyFill="1" applyBorder="1" applyAlignment="1">
      <alignment horizontal="center"/>
    </xf>
    <xf numFmtId="10" fontId="7" fillId="95" borderId="29" xfId="1" applyNumberFormat="1" applyFont="1" applyFill="1" applyBorder="1" applyAlignment="1">
      <alignment horizontal="center"/>
    </xf>
    <xf numFmtId="0" fontId="0" fillId="95" borderId="1" xfId="0" applyFill="1" applyBorder="1" applyAlignment="1">
      <alignment horizontal="center"/>
    </xf>
    <xf numFmtId="10" fontId="7" fillId="95" borderId="7" xfId="1" applyNumberFormat="1" applyFont="1" applyFill="1" applyBorder="1" applyAlignment="1">
      <alignment horizontal="center"/>
    </xf>
    <xf numFmtId="0" fontId="22" fillId="95" borderId="35" xfId="0" applyFont="1" applyFill="1" applyBorder="1" applyAlignment="1">
      <alignment horizontal="center" vertical="center"/>
    </xf>
    <xf numFmtId="0" fontId="0" fillId="96" borderId="35" xfId="0" applyFill="1" applyBorder="1" applyAlignment="1">
      <alignment horizontal="center" vertical="center"/>
    </xf>
    <xf numFmtId="0" fontId="0" fillId="96" borderId="1" xfId="0" applyFill="1" applyBorder="1" applyAlignment="1">
      <alignment horizontal="center"/>
    </xf>
    <xf numFmtId="10" fontId="7" fillId="96" borderId="7" xfId="1" applyNumberFormat="1" applyFont="1" applyFill="1" applyBorder="1" applyAlignment="1">
      <alignment horizontal="center"/>
    </xf>
    <xf numFmtId="0" fontId="0" fillId="96" borderId="55" xfId="0" applyFill="1" applyBorder="1" applyAlignment="1">
      <alignment horizontal="center" vertical="center"/>
    </xf>
    <xf numFmtId="0" fontId="0" fillId="96" borderId="9" xfId="0" applyFill="1" applyBorder="1" applyAlignment="1">
      <alignment horizontal="center"/>
    </xf>
    <xf numFmtId="10" fontId="7" fillId="96" borderId="26" xfId="1" applyNumberFormat="1" applyFont="1" applyFill="1" applyBorder="1" applyAlignment="1">
      <alignment horizontal="center"/>
    </xf>
    <xf numFmtId="0" fontId="0" fillId="96" borderId="58" xfId="0" applyFill="1" applyBorder="1"/>
    <xf numFmtId="0" fontId="9" fillId="43" borderId="18" xfId="0" applyFont="1" applyFill="1" applyBorder="1" applyAlignment="1">
      <alignment horizontal="center" vertical="center"/>
    </xf>
    <xf numFmtId="0" fontId="0" fillId="57" borderId="55" xfId="0" applyFill="1" applyBorder="1" applyAlignment="1">
      <alignment horizontal="center" vertical="center"/>
    </xf>
    <xf numFmtId="0" fontId="13" fillId="44" borderId="0" xfId="0" applyFont="1" applyFill="1" applyAlignment="1">
      <alignment horizontal="center"/>
    </xf>
    <xf numFmtId="0" fontId="8" fillId="63" borderId="59" xfId="0" applyFont="1" applyFill="1" applyBorder="1" applyAlignment="1">
      <alignment horizontal="center" vertical="center"/>
    </xf>
    <xf numFmtId="0" fontId="8" fillId="63" borderId="23" xfId="0" applyFont="1" applyFill="1" applyBorder="1" applyAlignment="1">
      <alignment horizontal="center" vertical="center"/>
    </xf>
    <xf numFmtId="0" fontId="8" fillId="63" borderId="21" xfId="0" applyFont="1" applyFill="1" applyBorder="1" applyAlignment="1">
      <alignment horizontal="center"/>
    </xf>
    <xf numFmtId="10" fontId="8" fillId="63" borderId="59" xfId="1" applyNumberFormat="1" applyFont="1" applyFill="1" applyBorder="1" applyAlignment="1">
      <alignment horizontal="center" vertical="center"/>
    </xf>
    <xf numFmtId="0" fontId="8" fillId="97" borderId="7" xfId="0" applyFont="1" applyFill="1" applyBorder="1" applyAlignment="1">
      <alignment horizontal="center" vertical="center"/>
    </xf>
    <xf numFmtId="0" fontId="8" fillId="97" borderId="26" xfId="0" applyFont="1" applyFill="1" applyBorder="1" applyAlignment="1">
      <alignment horizontal="center" vertical="center"/>
    </xf>
    <xf numFmtId="0" fontId="8" fillId="63" borderId="18" xfId="0" applyFont="1" applyFill="1" applyBorder="1" applyAlignment="1">
      <alignment horizontal="center" vertical="center"/>
    </xf>
    <xf numFmtId="0" fontId="2" fillId="98" borderId="35" xfId="0" applyFont="1" applyFill="1" applyBorder="1" applyAlignment="1">
      <alignment horizontal="center" vertical="center"/>
    </xf>
    <xf numFmtId="0" fontId="2" fillId="98" borderId="1" xfId="0" applyFont="1" applyFill="1" applyBorder="1" applyAlignment="1">
      <alignment horizontal="center"/>
    </xf>
    <xf numFmtId="10" fontId="2" fillId="98" borderId="7" xfId="1" applyNumberFormat="1" applyFont="1" applyFill="1" applyBorder="1" applyAlignment="1">
      <alignment horizontal="center"/>
    </xf>
    <xf numFmtId="0" fontId="2" fillId="99" borderId="35" xfId="0" applyFont="1" applyFill="1" applyBorder="1" applyAlignment="1">
      <alignment horizontal="center" vertical="center"/>
    </xf>
    <xf numFmtId="0" fontId="2" fillId="99" borderId="1" xfId="0" applyFont="1" applyFill="1" applyBorder="1" applyAlignment="1">
      <alignment horizontal="center"/>
    </xf>
    <xf numFmtId="10" fontId="2" fillId="99" borderId="7" xfId="1" applyNumberFormat="1" applyFont="1" applyFill="1" applyBorder="1" applyAlignment="1">
      <alignment horizontal="center"/>
    </xf>
    <xf numFmtId="0" fontId="2" fillId="98" borderId="55" xfId="0" applyFont="1" applyFill="1" applyBorder="1" applyAlignment="1">
      <alignment horizontal="center" vertical="center"/>
    </xf>
    <xf numFmtId="0" fontId="2" fillId="98" borderId="9" xfId="0" applyFont="1" applyFill="1" applyBorder="1" applyAlignment="1">
      <alignment horizontal="center"/>
    </xf>
    <xf numFmtId="10" fontId="2" fillId="98" borderId="26" xfId="1" applyNumberFormat="1" applyFont="1" applyFill="1" applyBorder="1" applyAlignment="1">
      <alignment horizontal="center"/>
    </xf>
    <xf numFmtId="0" fontId="2" fillId="98" borderId="58" xfId="0" applyFont="1" applyFill="1" applyBorder="1"/>
    <xf numFmtId="0" fontId="24" fillId="44" borderId="0" xfId="0" applyFont="1" applyFill="1" applyAlignment="1">
      <alignment horizontal="center"/>
    </xf>
    <xf numFmtId="0" fontId="24" fillId="44" borderId="0" xfId="0" applyFont="1" applyFill="1" applyAlignment="1">
      <alignment horizontal="center" vertical="center"/>
    </xf>
    <xf numFmtId="0" fontId="0" fillId="100" borderId="0" xfId="0" applyFill="1"/>
    <xf numFmtId="0" fontId="0" fillId="101" borderId="4" xfId="0" applyFill="1" applyBorder="1" applyAlignment="1">
      <alignment horizontal="center"/>
    </xf>
    <xf numFmtId="10" fontId="0" fillId="101" borderId="5" xfId="1" applyNumberFormat="1" applyFont="1" applyFill="1" applyBorder="1" applyAlignment="1">
      <alignment horizontal="center" vertical="center"/>
    </xf>
    <xf numFmtId="0" fontId="9" fillId="41" borderId="29" xfId="0" applyFont="1" applyFill="1" applyBorder="1" applyAlignment="1">
      <alignment horizontal="center"/>
    </xf>
    <xf numFmtId="10" fontId="2" fillId="13" borderId="29" xfId="1" applyNumberFormat="1" applyFont="1" applyFill="1" applyBorder="1" applyAlignment="1">
      <alignment horizontal="center"/>
    </xf>
    <xf numFmtId="10" fontId="2" fillId="12" borderId="7" xfId="1" applyNumberFormat="1" applyFont="1" applyFill="1" applyBorder="1" applyAlignment="1">
      <alignment horizontal="center"/>
    </xf>
    <xf numFmtId="0" fontId="11" fillId="43" borderId="59" xfId="2" applyFill="1" applyBorder="1" applyAlignment="1">
      <alignment horizontal="center" vertical="center"/>
    </xf>
    <xf numFmtId="0" fontId="25" fillId="2" borderId="90" xfId="2" applyFont="1" applyFill="1" applyBorder="1" applyAlignment="1">
      <alignment horizontal="center"/>
    </xf>
    <xf numFmtId="0" fontId="18" fillId="5" borderId="0" xfId="0" applyFont="1" applyFill="1"/>
    <xf numFmtId="0" fontId="0" fillId="5" borderId="61" xfId="0" applyFill="1" applyBorder="1"/>
    <xf numFmtId="0" fontId="8" fillId="5" borderId="0" xfId="0" applyFont="1" applyFill="1"/>
    <xf numFmtId="0" fontId="0" fillId="5" borderId="101" xfId="0" applyFill="1" applyBorder="1" applyAlignment="1">
      <alignment horizontal="center"/>
    </xf>
    <xf numFmtId="0" fontId="0" fillId="5" borderId="92" xfId="0" applyFill="1" applyBorder="1"/>
    <xf numFmtId="2" fontId="0" fillId="39" borderId="100" xfId="0" applyNumberFormat="1" applyFill="1" applyBorder="1" applyAlignment="1">
      <alignment horizontal="center" vertical="center"/>
    </xf>
    <xf numFmtId="0" fontId="4" fillId="102" borderId="35" xfId="0" applyFont="1" applyFill="1" applyBorder="1" applyAlignment="1">
      <alignment horizontal="center" vertical="center"/>
    </xf>
    <xf numFmtId="0" fontId="4" fillId="102" borderId="1" xfId="0" applyFont="1" applyFill="1" applyBorder="1" applyAlignment="1">
      <alignment horizontal="center" vertical="center"/>
    </xf>
    <xf numFmtId="10" fontId="4" fillId="102" borderId="16" xfId="0" applyNumberFormat="1" applyFont="1" applyFill="1" applyBorder="1" applyAlignment="1">
      <alignment horizontal="center" vertical="center"/>
    </xf>
    <xf numFmtId="0" fontId="4" fillId="103" borderId="8" xfId="0" applyFont="1" applyFill="1" applyBorder="1" applyAlignment="1">
      <alignment horizontal="center" vertical="center"/>
    </xf>
    <xf numFmtId="0" fontId="4" fillId="103" borderId="9" xfId="0" applyFont="1" applyFill="1" applyBorder="1" applyAlignment="1">
      <alignment horizontal="center" vertical="center"/>
    </xf>
    <xf numFmtId="10" fontId="4" fillId="103" borderId="30" xfId="0" applyNumberFormat="1" applyFont="1" applyFill="1" applyBorder="1" applyAlignment="1">
      <alignment horizontal="center" vertical="center"/>
    </xf>
    <xf numFmtId="0" fontId="4" fillId="103" borderId="19" xfId="0" applyFont="1" applyFill="1" applyBorder="1"/>
    <xf numFmtId="0" fontId="0" fillId="104" borderId="35" xfId="0" applyFill="1" applyBorder="1" applyAlignment="1">
      <alignment horizontal="center"/>
    </xf>
    <xf numFmtId="0" fontId="0" fillId="104" borderId="1" xfId="0" applyFill="1" applyBorder="1" applyAlignment="1">
      <alignment horizontal="center"/>
    </xf>
    <xf numFmtId="10" fontId="0" fillId="104" borderId="7" xfId="0" applyNumberFormat="1" applyFill="1" applyBorder="1" applyAlignment="1">
      <alignment horizontal="center" vertical="center"/>
    </xf>
    <xf numFmtId="0" fontId="0" fillId="105" borderId="55" xfId="0" applyFill="1" applyBorder="1" applyAlignment="1">
      <alignment horizontal="center"/>
    </xf>
    <xf numFmtId="0" fontId="0" fillId="105" borderId="9" xfId="0" applyFill="1" applyBorder="1" applyAlignment="1">
      <alignment horizontal="center"/>
    </xf>
    <xf numFmtId="10" fontId="2" fillId="105" borderId="30" xfId="0" applyNumberFormat="1" applyFont="1" applyFill="1" applyBorder="1" applyAlignment="1">
      <alignment horizontal="center" vertical="center"/>
    </xf>
    <xf numFmtId="0" fontId="0" fillId="105" borderId="19" xfId="0" applyFill="1" applyBorder="1"/>
    <xf numFmtId="0" fontId="1" fillId="87" borderId="118" xfId="0" applyFont="1" applyFill="1" applyBorder="1" applyAlignment="1">
      <alignment horizontal="center" vertical="center"/>
    </xf>
    <xf numFmtId="0" fontId="24" fillId="5" borderId="0" xfId="0" applyFont="1" applyFill="1" applyAlignment="1">
      <alignment horizontal="center" vertical="center"/>
    </xf>
    <xf numFmtId="0" fontId="0" fillId="100" borderId="93" xfId="0" applyFill="1" applyBorder="1"/>
    <xf numFmtId="0" fontId="0" fillId="5" borderId="93" xfId="0" applyFill="1" applyBorder="1"/>
    <xf numFmtId="10" fontId="0" fillId="5" borderId="0" xfId="1" applyNumberFormat="1" applyFont="1" applyFill="1"/>
    <xf numFmtId="0" fontId="0" fillId="5" borderId="22" xfId="0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0" fontId="9" fillId="12" borderId="54" xfId="0" applyFont="1" applyFill="1" applyBorder="1" applyAlignment="1">
      <alignment horizontal="center" vertical="center"/>
    </xf>
    <xf numFmtId="0" fontId="9" fillId="12" borderId="51" xfId="0" applyFont="1" applyFill="1" applyBorder="1" applyAlignment="1">
      <alignment horizontal="center" vertical="center"/>
    </xf>
    <xf numFmtId="0" fontId="9" fillId="66" borderId="44" xfId="0" applyFont="1" applyFill="1" applyBorder="1" applyAlignment="1">
      <alignment horizontal="center"/>
    </xf>
    <xf numFmtId="0" fontId="9" fillId="66" borderId="45" xfId="0" applyFont="1" applyFill="1" applyBorder="1" applyAlignment="1">
      <alignment horizontal="center"/>
    </xf>
    <xf numFmtId="0" fontId="8" fillId="72" borderId="44" xfId="0" applyFont="1" applyFill="1" applyBorder="1" applyAlignment="1">
      <alignment horizontal="center"/>
    </xf>
    <xf numFmtId="0" fontId="8" fillId="72" borderId="45" xfId="0" applyFont="1" applyFill="1" applyBorder="1" applyAlignment="1">
      <alignment horizontal="center"/>
    </xf>
    <xf numFmtId="0" fontId="10" fillId="5" borderId="0" xfId="0" applyFont="1" applyFill="1" applyAlignment="1">
      <alignment horizontal="center"/>
    </xf>
    <xf numFmtId="0" fontId="9" fillId="41" borderId="44" xfId="0" applyFont="1" applyFill="1" applyBorder="1" applyAlignment="1">
      <alignment horizontal="center"/>
    </xf>
    <xf numFmtId="0" fontId="9" fillId="41" borderId="45" xfId="0" applyFont="1" applyFill="1" applyBorder="1" applyAlignment="1">
      <alignment horizontal="center"/>
    </xf>
    <xf numFmtId="0" fontId="8" fillId="41" borderId="53" xfId="0" applyFont="1" applyFill="1" applyBorder="1" applyAlignment="1">
      <alignment horizontal="center" vertical="center"/>
    </xf>
    <xf numFmtId="0" fontId="8" fillId="41" borderId="51" xfId="0" applyFont="1" applyFill="1" applyBorder="1" applyAlignment="1">
      <alignment horizontal="center" vertical="center"/>
    </xf>
    <xf numFmtId="0" fontId="8" fillId="42" borderId="43" xfId="0" applyFont="1" applyFill="1" applyBorder="1" applyAlignment="1">
      <alignment horizontal="center"/>
    </xf>
    <xf numFmtId="0" fontId="8" fillId="42" borderId="47" xfId="0" applyFont="1" applyFill="1" applyBorder="1" applyAlignment="1">
      <alignment horizontal="center"/>
    </xf>
    <xf numFmtId="164" fontId="4" fillId="41" borderId="5" xfId="1" applyNumberFormat="1" applyFont="1" applyFill="1" applyBorder="1" applyAlignment="1">
      <alignment horizontal="center" vertical="center"/>
    </xf>
    <xf numFmtId="164" fontId="4" fillId="41" borderId="26" xfId="1" applyNumberFormat="1" applyFont="1" applyFill="1" applyBorder="1" applyAlignment="1">
      <alignment horizontal="center" vertical="center"/>
    </xf>
    <xf numFmtId="0" fontId="13" fillId="5" borderId="0" xfId="0" applyFont="1" applyFill="1" applyAlignment="1">
      <alignment horizontal="center"/>
    </xf>
    <xf numFmtId="10" fontId="4" fillId="52" borderId="41" xfId="0" applyNumberFormat="1" applyFont="1" applyFill="1" applyBorder="1" applyAlignment="1">
      <alignment horizontal="center" vertical="center"/>
    </xf>
    <xf numFmtId="10" fontId="4" fillId="52" borderId="37" xfId="0" applyNumberFormat="1" applyFont="1" applyFill="1" applyBorder="1" applyAlignment="1">
      <alignment horizontal="center" vertical="center"/>
    </xf>
    <xf numFmtId="0" fontId="9" fillId="44" borderId="0" xfId="0" applyFont="1" applyFill="1"/>
  </cellXfs>
  <cellStyles count="3">
    <cellStyle name="Hiperveza" xfId="2" builtinId="8"/>
    <cellStyle name="Normalno" xfId="0" builtinId="0"/>
    <cellStyle name="Postotak" xfId="1" builtinId="5"/>
  </cellStyles>
  <dxfs count="0"/>
  <tableStyles count="0" defaultTableStyle="TableStyleMedium2" defaultPivotStyle="PivotStyleLight16"/>
  <colors>
    <mruColors>
      <color rgb="FFC0F2C5"/>
      <color rgb="FFA9EDAF"/>
      <color rgb="FFA0EAA7"/>
      <color rgb="FFFF8F8F"/>
      <color rgb="FFFF6165"/>
      <color rgb="FFFFFFFF"/>
      <color rgb="FF2FFFFA"/>
      <color rgb="FF00CC99"/>
      <color rgb="FFA7FFFD"/>
      <color rgb="FF00DB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tea Parat" id="{468A9F94-3E22-4C77-9DB2-F93CA62472B4}" userId="S::ap55849@fer.hr::08f9e4c3-c215-4342-b21f-d070729ca9e1" providerId="AD"/>
  <person displayName="Roko Tojčić" id="{FD268F47-D829-4CB8-89FB-B62E668C6620}" userId="S::roko.tojcic@skole.hr::6c805348-660d-4813-b5ae-61540b54713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7" dT="2024-01-13T19:50:27.13" personId="{FD268F47-D829-4CB8-89FB-B62E668C6620}" id="{048DD218-393A-4AD5-968E-6FB055C98BFC}">
    <text>Dovoljan (2) 50 % 
Dobar (3) 62 % 
Vrlo dobar (4) 75 % 
Izvrstan (5) 88 %</text>
  </threadedComment>
  <threadedComment ref="D13" dT="2024-01-13T19:52:48.27" personId="{FD268F47-D829-4CB8-89FB-B62E668C6620}" id="{2E7764DA-5587-4B31-8CA8-03314B1AD733}">
    <text xml:space="preserve">[87.5, 100] 5 
[75, 87.5) 4 
[62.5, 75) 3 
[50, 62.5) 2 </text>
  </threadedComment>
  <threadedComment ref="D19" dT="2024-01-13T19:53:31.85" personId="{FD268F47-D829-4CB8-89FB-B62E668C6620}" id="{79436E82-2329-417C-93BF-913CC54B60B9}">
    <text xml:space="preserve">45 bodova………dovoljan (2) 
55 bodova………dobar (3) 
70 bodova………vrlo dobar (4) 
85 bodova………izvrstan (5) </text>
  </threadedComment>
  <threadedComment ref="D25" dT="2024-01-13T19:43:29.26" personId="{FD268F47-D829-4CB8-89FB-B62E668C6620}" id="{B8C00CC6-9561-471A-8418-228EC3B2A655}">
    <text>86 izvrstan
72 vrlo dobar
58 dobar
50 dovoljan</text>
  </threadedComment>
  <threadedComment ref="D36" dT="2024-01-15T16:52:32.18" personId="{FD268F47-D829-4CB8-89FB-B62E668C6620}" id="{8336269A-3E16-4DCA-809F-D8012D883B9F}">
    <text xml:space="preserve">90 izvrstan
80 vrlo dobar
70 dobar
60 dovoljan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7" dT="2024-02-13T16:30:27.79" personId="{468A9F94-3E22-4C77-9DB2-F93CA62472B4}" id="{8466538D-CB99-4685-8D00-C6B9C6699AC0}">
    <text xml:space="preserve">MI &amp; ZI 1/4 računskih zadataka mora biti u cijelosti točno riješen
85 izvrstan
70 vrlo dobar
60 dobar
50 dovoljan
</text>
  </threadedComment>
  <threadedComment ref="D14" dT="2024-02-13T16:37:51.46" personId="{468A9F94-3E22-4C77-9DB2-F93CA62472B4}" id="{2E7B1771-4A33-442B-BD13-A927A1CA313D}">
    <text xml:space="preserve">90 izvrstan (5)
80 vrlo dobar (4)
65 dobar (3)
50 dovoljan (2)
</text>
  </threadedComment>
  <threadedComment ref="D24" dT="2024-02-13T16:38:49.27" personId="{468A9F94-3E22-4C77-9DB2-F93CA62472B4}" id="{40C51B75-82AA-4452-9884-5B9F3D50D7A2}">
    <text xml:space="preserve">86 izvrstan (5)
74 vrlo dobar (4)
62 dobar (3)
50 dovoljan (2)
</text>
  </threadedComment>
  <threadedComment ref="D30" dT="2024-01-13T19:43:29.26" personId="{FD268F47-D829-4CB8-89FB-B62E668C6620}" id="{7026532A-443C-46BF-B9D8-05ADE320B1CB}">
    <text>86 izvrstan
72 vrlo dobar
58 dobar
50 dovoljan</text>
  </threadedComment>
  <threadedComment ref="D35" dT="2024-02-13T16:40:18.11" personId="{468A9F94-3E22-4C77-9DB2-F93CA62472B4}" id="{0C339E6C-19AE-4F2A-BA83-337FA80BEB9D}">
    <text xml:space="preserve">35,5 izvrstan (5) 
30 vrlo dobar (4) 
24 dobar (3)
20 dovoljan (2) 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2" dT="2024-12-19T21:48:56.89" personId="{468A9F94-3E22-4C77-9DB2-F93CA62472B4}" id="{A5F34478-5398-4BCC-A171-3EC5A603648A}">
    <text>LABOSI obavezni</text>
  </threadedComment>
  <threadedComment ref="D4" dT="2025-01-22T21:53:18.28" personId="{468A9F94-3E22-4C77-9DB2-F93CA62472B4}" id="{55BCBB2E-F981-484A-9D59-8C35688D8F06}">
    <text>20%</text>
  </threadedComment>
  <threadedComment ref="E5" dT="2024-11-13T08:58:48.64" personId="{468A9F94-3E22-4C77-9DB2-F93CA62472B4}" id="{5ACE5987-5963-4121-89A7-4BF8668CD5C2}">
    <text xml:space="preserve">87 izvrstan
75 vrlo dobar
62 dobar
50 dovoljan
- obavezna odrada svih labosa
</text>
  </threadedComment>
  <threadedComment ref="D9" dT="2024-12-19T21:49:16.00" personId="{468A9F94-3E22-4C77-9DB2-F93CA62472B4}" id="{80D18C22-07BA-4DB2-8C57-67F087833AD5}">
    <text>Labosi obavezni</text>
  </threadedComment>
  <threadedComment ref="E12" dT="2024-11-21T08:59:43.80" personId="{468A9F94-3E22-4C77-9DB2-F93CA62472B4}" id="{AB322D82-E6EF-4901-85CB-BFC0F82680DD}">
    <text>Da bi student položio mora: -ostvariti najmanje 50% bodova na međuispitu i završnom ispitu -ostvariti najmanje 50% od ukupnog broja bodova</text>
  </threadedComment>
  <threadedComment ref="E14" dT="2024-11-21T08:59:13.51" personId="{468A9F94-3E22-4C77-9DB2-F93CA62472B4}" id="{000FE4A8-BE5A-455A-9A2D-474B3B7CA2CB}">
    <text>90 izvrstan
75 vrlo dobar
62 dobar
50 dovoljan</text>
  </threadedComment>
  <threadedComment ref="D18" dT="2024-12-19T21:49:37.30" personId="{468A9F94-3E22-4C77-9DB2-F93CA62472B4}" id="{8F7DB1F7-6D36-404B-B0EE-165270FC55E9}">
    <text>Labosi obavezni</text>
  </threadedComment>
  <threadedComment ref="E22" dT="2024-11-15T22:05:34.71" personId="{468A9F94-3E22-4C77-9DB2-F93CA62472B4}" id="{E41F6399-D675-42CF-976D-6375BD38C856}">
    <text>MI &amp; ZI 1/4 računskih zadataka mora biti u cijelosti točno riješen
85 izvrstan
70 vrlo dobar
60 dobar
50 dovoljan</text>
  </threadedComment>
  <threadedComment ref="D26" dT="2024-11-21T09:00:41.27" personId="{468A9F94-3E22-4C77-9DB2-F93CA62472B4}" id="{0EC45E67-E186-49D3-BFB8-E6550EFBE9C6}">
    <text>RIJEŠITI SVE DZ</text>
  </threadedComment>
  <threadedComment ref="D29" dT="2024-01-13T19:43:29.26" personId="{FD268F47-D829-4CB8-89FB-B62E668C6620}" id="{D84C6AB1-FC10-46BA-90B0-FDB5AD3AE7A6}">
    <text>86 izvrstan
72 vrlo dobar
58 dobar
50 dovoljan</text>
  </threadedComment>
  <threadedComment ref="E29" dT="2024-11-21T09:02:28.36" personId="{468A9F94-3E22-4C77-9DB2-F93CA62472B4}" id="{BDAD792B-FD85-4720-A96F-70DCD1937719}">
    <text>85 izvrstan
70 vrlo dobar
55 dobar
45 dovoljan</text>
  </threadedComment>
  <threadedComment ref="D33" dT="2024-12-19T21:49:57.82" personId="{468A9F94-3E22-4C77-9DB2-F93CA62472B4}" id="{264C1108-BA91-4B7B-89C7-EF8F929F3770}">
    <text>Labosi bavezni</text>
  </threadedComment>
  <threadedComment ref="E34" dT="2024-11-21T09:01:39.08" personId="{468A9F94-3E22-4C77-9DB2-F93CA62472B4}" id="{E8F8366C-8E71-4CA4-80A0-B8643DC05A7F}">
    <text>Uvjet za prolaz pismenih ispita je minimalno 16 bodova (40 %) ostvarenih sumarno na MI i ZIP</text>
  </threadedComment>
  <threadedComment ref="E37" dT="2024-11-21T09:02:06.58" personId="{468A9F94-3E22-4C77-9DB2-F93CA62472B4}" id="{5D102B51-940A-403B-92DA-CD3AC7DF9CA0}">
    <text xml:space="preserve">89 izvrstan
76 vrlo dobar
63 dobar
50 dovoljan
</text>
  </threadedComment>
  <threadedComment ref="D43" dT="2024-11-21T09:53:55.19" personId="{468A9F94-3E22-4C77-9DB2-F93CA62472B4}" id="{95D195A9-CFFF-46ED-9054-E06FEB4E364F}">
    <text>Međuispit: Pismeni 33%</text>
  </threadedComment>
  <threadedComment ref="D44" dT="2024-11-21T09:54:05.33" personId="{468A9F94-3E22-4C77-9DB2-F93CA62472B4}" id="{84CF1C41-9E85-442A-894C-1C4863E883C0}">
    <text>Završni ispit: Pismeni 37.5 %</text>
  </threadedComment>
  <threadedComment ref="E45" dT="2024-11-21T09:03:06.96" personId="{468A9F94-3E22-4C77-9DB2-F93CA62472B4}" id="{9395C8E6-71C0-4E8E-853E-2037B18EE0D0}">
    <text>85 izvrstan
72 vrlo dobar
60 dobar
50 dovoljan</text>
  </threadedComment>
  <threadedComment ref="D52" dT="2024-01-13T19:53:31.85" personId="{FD268F47-D829-4CB8-89FB-B62E668C6620}" id="{649D91C9-9EDC-4FF1-879B-F3499CB13F28}">
    <text xml:space="preserve">45 bodova………dovoljan (2) 
55 bodova………dobar (3) 
70 bodova………vrlo dobar (4) 
85 bodova………izvrstan (5) 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E5" dT="2024-11-13T09:46:07.20" personId="{468A9F94-3E22-4C77-9DB2-F93CA62472B4}" id="{2B565E65-B6B7-480B-B926-B037DD75D35E}">
    <text>85 izvrstan
70 vrlo dobar
55 dobar
45 dovoljan</text>
  </threadedComment>
  <threadedComment ref="D11" dT="2024-12-20T20:38:35.22" personId="{468A9F94-3E22-4C77-9DB2-F93CA62472B4}" id="{CB729B9F-BEE5-4CFA-A46F-217957B6A828}">
    <text>Prag : 40%</text>
  </threadedComment>
  <threadedComment ref="E12" dT="2024-11-13T10:37:13.38" personId="{468A9F94-3E22-4C77-9DB2-F93CA62472B4}" id="{7B4532CC-98DA-4AC3-A688-9F79983546AD}">
    <text>87.5 izvrstan
75 vrlo dobar
62.5 dobar
50 dovoljan</text>
  </threadedComment>
  <threadedComment ref="D16" dT="2024-12-20T20:38:50.36" personId="{468A9F94-3E22-4C77-9DB2-F93CA62472B4}" id="{D7B11D06-57C6-4E12-91FC-FCB0EA6C9758}">
    <text>Prag: 3 boda</text>
  </threadedComment>
  <threadedComment ref="E19" dT="2024-11-13T10:03:36.94" personId="{468A9F94-3E22-4C77-9DB2-F93CA62472B4}" id="{9D2E405E-0273-4503-B245-96FE7681891E}">
    <text>90 izvrstan
80 vrlo dobar
65 dobar
50 dovoljan</text>
  </threadedComment>
  <threadedComment ref="E27" dT="2024-11-13T08:58:48.64" personId="{468A9F94-3E22-4C77-9DB2-F93CA62472B4}" id="{CBB3F499-1903-4CAA-80DB-29B67F2D265D}">
    <text xml:space="preserve">85 izvrstan
70 vrlo dobar
55 dobar
45 dovoljan
</text>
  </threadedComment>
  <threadedComment ref="E33" dT="2024-11-13T10:03:36.94" personId="{468A9F94-3E22-4C77-9DB2-F93CA62472B4}" id="{90E3B7C8-5982-4B11-8E98-38C2C7947433}">
    <text>85 izvrstan
70 vrlo dobar
55 dobar
40 dovoljan</text>
  </threadedComment>
  <threadedComment ref="E41" dT="2024-11-13T10:35:59.42" personId="{468A9F94-3E22-4C77-9DB2-F93CA62472B4}" id="{B43446FD-BE6E-480A-A42F-7288033FCF50}">
    <text>85 izvrstan
72 vrlo dobar
60 dobar
50 dovoljan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M4" dT="2024-11-13T09:46:07.20" personId="{468A9F94-3E22-4C77-9DB2-F93CA62472B4}" id="{2F5DB799-5796-44A1-AE74-B2F1FA4C3393}">
    <text>85 izvrstan
70 vrlo dobar
55 dobar
45 dovoljan</text>
  </threadedComment>
  <threadedComment ref="E5" dT="2024-11-13T08:58:48.64" personId="{468A9F94-3E22-4C77-9DB2-F93CA62472B4}" id="{CD940560-83F7-4E1F-B7B4-88F49E7C73B6}">
    <text xml:space="preserve">87 izvrstan
75 vrlo dobar
62 dobar
50 dovoljan
- obavezna odrada svih labosa
</text>
  </threadedComment>
  <threadedComment ref="M11" dT="2024-11-13T10:37:13.38" personId="{468A9F94-3E22-4C77-9DB2-F93CA62472B4}" id="{B33C6F00-4C00-485F-A1B4-B1896C50B2DA}">
    <text>87.5 izvrstan
75 vrlo dobar
62.5 dobar
50 dovoljan</text>
  </threadedComment>
  <threadedComment ref="E13" dT="2024-11-17T21:25:42.09" personId="{468A9F94-3E22-4C77-9DB2-F93CA62472B4}" id="{F39260A3-8D0C-4E74-ACB1-38D41488AD4F}">
    <text>90 izvrstan
75 vrlo dobar
62 dobar
50 dovoljan</text>
  </threadedComment>
  <threadedComment ref="M17" dT="2024-11-13T10:03:36.94" personId="{468A9F94-3E22-4C77-9DB2-F93CA62472B4}" id="{F8A4418E-A9E8-43C6-B71E-F0842403E68F}">
    <text>90 izvrstan
80 vrlo dobar
65 dobar
50 dovoljan</text>
  </threadedComment>
  <threadedComment ref="E20" dT="2024-11-15T22:05:34.71" personId="{468A9F94-3E22-4C77-9DB2-F93CA62472B4}" id="{F3B2B247-5FEA-4EB6-91CB-B33CE33277B5}">
    <text>MI &amp; ZI 1/4 računskih zadataka mora biti u cijelosti točno riješen
85 izvrstan
70 vrlo dobar
60 dobar
50 dovoljan</text>
  </threadedComment>
  <threadedComment ref="M24" dT="2024-11-13T08:58:48.64" personId="{468A9F94-3E22-4C77-9DB2-F93CA62472B4}" id="{9A99B7CA-7840-423C-AA1D-C06FA44F2570}">
    <text xml:space="preserve">85 izvrstan
70 vrlo dobar
55 dobar
45 dovoljan
</text>
  </threadedComment>
  <threadedComment ref="D25" dT="2024-01-13T19:43:29.26" personId="{FD268F47-D829-4CB8-89FB-B62E668C6620}" id="{1F1AB1A4-26E7-4930-913D-2D82EF7D7B6C}">
    <text>86 izvrstan
72 vrlo dobar
58 dobar
50 dovoljan</text>
  </threadedComment>
  <threadedComment ref="E25" dT="2024-11-17T22:47:42.32" personId="{468A9F94-3E22-4C77-9DB2-F93CA62472B4}" id="{429CEDDA-2359-44B3-886C-82F59BE16B6A}">
    <text>85 izvrstan
70 vrlo dobar
55 dobar
45 dovoljan</text>
  </threadedComment>
  <threadedComment ref="M29" dT="2024-11-13T10:03:36.94" personId="{468A9F94-3E22-4C77-9DB2-F93CA62472B4}" id="{5FAE3D5B-557A-44B3-87E7-52B90DD42001}">
    <text>85 izvrstan
70 vrlo dobar
55 dobar
40 dovoljan</text>
  </threadedComment>
  <threadedComment ref="D30" dT="2025-02-21T18:49:48.85" personId="{468A9F94-3E22-4C77-9DB2-F93CA62472B4}" id="{137BFF4C-318E-422B-8949-FDEE2EB704D8}">
    <text>40%</text>
  </threadedComment>
  <threadedComment ref="E32" dT="2024-11-17T22:51:20.34" personId="{468A9F94-3E22-4C77-9DB2-F93CA62472B4}" id="{E228BA9D-6FF7-4D7A-91F3-A4B14AAF6C22}">
    <text>89 izvrstan
76 vrlo dobar
63 dobar
50 dovoljan</text>
  </threadedComment>
  <threadedComment ref="M37" dT="2024-11-13T10:35:59.42" personId="{468A9F94-3E22-4C77-9DB2-F93CA62472B4}" id="{28D18C6A-B560-426C-BC9F-2EA1681BD962}">
    <text>85 izvrstan
72 vrlo dobar
60 dobar
50 dovoljan</text>
  </threadedComment>
  <threadedComment ref="E40" dT="2024-11-17T22:11:18.07" personId="{468A9F94-3E22-4C77-9DB2-F93CA62472B4}" id="{98564231-1D1B-4A44-B441-1EAAB427B188}">
    <text>85 izvrstan
72 vrlo dobar
60 dobar
50 dovoljan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D2" dT="2024-12-19T21:48:56.89" personId="{468A9F94-3E22-4C77-9DB2-F93CA62472B4}" id="{3DB983B9-F039-4BD9-ABB2-3F2BB67776B0}">
    <text>LABOSI obavezni</text>
  </threadedComment>
  <threadedComment ref="D5" dT="2025-01-22T21:53:18.28" personId="{468A9F94-3E22-4C77-9DB2-F93CA62472B4}" id="{75DC3AE1-9F58-4FE4-9784-39C6EECE3C0A}">
    <text>8%</text>
  </threadedComment>
  <threadedComment ref="E6" dT="2024-11-13T08:58:48.64" personId="{468A9F94-3E22-4C77-9DB2-F93CA62472B4}" id="{12EC326A-1902-4C1B-ABE9-E58E845AFF52}">
    <text xml:space="preserve">87 izvrstan
75 vrlo dobar
62 dobar
50 dovoljan
- obavezna odrada svih labosa
</text>
  </threadedComment>
  <threadedComment ref="D9" dT="2024-12-19T21:49:16.00" personId="{468A9F94-3E22-4C77-9DB2-F93CA62472B4}" id="{440C242F-F128-4204-839E-404527C8EA39}">
    <text>Labosi obavezni</text>
  </threadedComment>
  <threadedComment ref="E14" dT="2024-11-21T08:59:13.51" personId="{468A9F94-3E22-4C77-9DB2-F93CA62472B4}" id="{55602035-FFCF-4BAF-A5FA-87C5F1AD5E46}">
    <text>87 izvrstan
75 vrlo dobar
63 dobar
51 dovoljan</text>
  </threadedComment>
  <threadedComment ref="D18" dT="2024-12-19T21:49:37.30" personId="{468A9F94-3E22-4C77-9DB2-F93CA62472B4}" id="{8601FBFF-A54E-4A74-81B0-A1DC281E64E5}">
    <text>Labosi obavezni</text>
  </threadedComment>
  <threadedComment ref="E22" dT="2024-11-15T22:05:34.71" personId="{468A9F94-3E22-4C77-9DB2-F93CA62472B4}" id="{C12ADAAC-1FA8-494B-AC3F-0A3CDFD61C0B}">
    <text>90 izvrstan
80 vrlo dobar
65 dobar
50 dovoljan</text>
  </threadedComment>
  <threadedComment ref="D29" dT="2024-01-13T19:43:29.26" personId="{FD268F47-D829-4CB8-89FB-B62E668C6620}" id="{A8252D0E-EBBF-4210-9905-502B5519C219}">
    <text>86 izvrstan
72 vrlo dobar
58 dobar
50 dovoljan</text>
  </threadedComment>
  <threadedComment ref="E29" dT="2024-11-21T09:02:28.36" personId="{468A9F94-3E22-4C77-9DB2-F93CA62472B4}" id="{5F410F48-9A6D-4780-9EC2-67B580065DC5}">
    <text>85 izvrstan
70 vrlo dobar
55 dobar
45 dovoljan</text>
  </threadedComment>
  <threadedComment ref="D43" dT="2024-11-21T09:54:05.33" personId="{468A9F94-3E22-4C77-9DB2-F93CA62472B4}" id="{D3D90BF8-8768-46BC-A823-B88B53D25ED8}">
    <text>Završni ispit: Pismeni 37.5 %</text>
  </threadedComment>
  <threadedComment ref="E44" dT="2024-11-21T09:03:06.96" personId="{468A9F94-3E22-4C77-9DB2-F93CA62472B4}" id="{7E08F12A-B3BA-4D3B-9907-5CA6B26FE53C}">
    <text>85 izvrstan
75 vrlo dobar
60 dobar
50 dovoljan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E6" dT="2024-11-13T09:46:07.20" personId="{468A9F94-3E22-4C77-9DB2-F93CA62472B4}" id="{ACF02469-72D3-4EE5-B838-57CFCD250A00}">
    <text>85 izvrstan
70 vrlo dobar
55 dobar
45 dovoljan</text>
  </threadedComment>
  <threadedComment ref="D9" dT="2025-03-02T19:00:20.42" personId="{468A9F94-3E22-4C77-9DB2-F93CA62472B4}" id="{2767F866-1BC6-4E81-8928-B9396C04AAC6}">
    <text>Uvjet za pristup ispitima</text>
  </threadedComment>
  <threadedComment ref="D10" dT="2025-03-02T19:00:24.68" personId="{468A9F94-3E22-4C77-9DB2-F93CA62472B4}" id="{9E0530F7-6C9D-4830-AFFF-07EFC9BF76C7}">
    <text xml:space="preserve">Uvjet za pristup ispitima
</text>
  </threadedComment>
  <threadedComment ref="D12" dT="2025-03-02T19:00:50.49" personId="{468A9F94-3E22-4C77-9DB2-F93CA62472B4}" id="{9F77C662-D6AA-4371-B30E-0A0F352A2CBA}">
    <text>Prvi dio gradiva</text>
  </threadedComment>
  <threadedComment ref="D13" dT="2025-03-02T19:01:02.92" personId="{468A9F94-3E22-4C77-9DB2-F93CA62472B4}" id="{B2E4166F-FB3B-427A-B765-E3C019E74E2E}">
    <text>Sve, s naglaskom na drugi dio gradiva</text>
  </threadedComment>
  <threadedComment ref="E14" dT="2024-11-13T10:37:13.38" personId="{468A9F94-3E22-4C77-9DB2-F93CA62472B4}" id="{34CE7489-F1ED-4E17-9B11-3821E1CB96FA}">
    <text>85 izvrstan
70 vrlo dobar
60 dobar
50 dovoljan</text>
  </threadedComment>
  <threadedComment ref="D19" dT="2024-12-20T20:38:50.36" personId="{468A9F94-3E22-4C77-9DB2-F93CA62472B4}" id="{3E77EE0F-A8FD-4544-94B8-D02BA15EB4B3}">
    <text>Prag: 2 boda
Samostalno u okviru dz</text>
  </threadedComment>
  <threadedComment ref="E22" dT="2024-11-13T10:03:36.94" personId="{468A9F94-3E22-4C77-9DB2-F93CA62472B4}" id="{63403CFD-0D5B-4FE4-A541-94FF8F7B63E0}">
    <text>88 izvrstan
75 vrlo dobar
63 dobar
50 dovoljan</text>
  </threadedComment>
  <threadedComment ref="E29" dT="2024-11-13T08:58:48.64" personId="{468A9F94-3E22-4C77-9DB2-F93CA62472B4}" id="{A47624F8-456F-4489-B9F7-987B5B638EF1}">
    <text>87,5 izvrstan
75 vrlo dobar
62,5 dobar
50 dovoljan</text>
  </threadedComment>
  <threadedComment ref="E38" dT="2024-11-13T10:03:36.94" personId="{468A9F94-3E22-4C77-9DB2-F93CA62472B4}" id="{17A843A1-75A8-401B-B6C5-46B69FA2BFEB}">
    <text>85 izvrstan
70 vrlo dobar
55 dobar
40 dovoljan</text>
  </threadedComment>
  <threadedComment ref="D44" dT="2024-11-21T09:54:05.33" personId="{468A9F94-3E22-4C77-9DB2-F93CA62472B4}" id="{045AD3D3-BF7A-4519-A644-1D2A136C675E}">
    <text>Završni ispit: Pismeni 37.5 %</text>
  </threadedComment>
  <threadedComment ref="E45" dT="2024-11-21T09:03:06.96" personId="{468A9F94-3E22-4C77-9DB2-F93CA62472B4}" id="{8BC5D6B9-18A9-402F-9D71-2CD0738AA992}">
    <text>85 izvrstan
75 vrlo dobar
60 dobar
50 dovoljan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D2" dT="2024-12-19T21:48:56.89" personId="{468A9F94-3E22-4C77-9DB2-F93CA62472B4}" id="{A4E10801-C902-4BFF-9A8D-2FE5879F76CE}">
    <text>LABOSI obavezni</text>
  </threadedComment>
  <threadedComment ref="D3" dT="2025-03-18T15:56:00.74" personId="{468A9F94-3E22-4C77-9DB2-F93CA62472B4}" id="{46A3E859-8745-4734-BA44-92129D03C9CB}">
    <text>20%</text>
  </threadedComment>
  <threadedComment ref="E5" dT="2024-11-13T08:58:48.64" personId="{468A9F94-3E22-4C77-9DB2-F93CA62472B4}" id="{74A7C4CB-6A7A-4236-924B-274C43BB0D1C}">
    <text xml:space="preserve">87 izvrstan
75 vrlo dobar
62 dobar
50 dovoljan
- obavezna odrada svih labosa
</text>
  </threadedComment>
  <threadedComment ref="O6" dT="2024-11-13T09:46:07.20" personId="{468A9F94-3E22-4C77-9DB2-F93CA62472B4}" id="{B34F2231-AFB7-4995-8349-2FA791C4AF0C}">
    <text>85 izvrstan
70 vrlo dobar
55 dobar
45 dovoljan</text>
  </threadedComment>
  <threadedComment ref="D8" dT="2024-12-19T21:49:16.00" personId="{468A9F94-3E22-4C77-9DB2-F93CA62472B4}" id="{2E812C45-FBEE-4C77-A989-1080F7F347ED}">
    <text>Labosi obavezni</text>
  </threadedComment>
  <threadedComment ref="N9" dT="2025-03-02T19:00:20.42" personId="{468A9F94-3E22-4C77-9DB2-F93CA62472B4}" id="{69E711BC-8B2E-44C9-BFB6-A6BDFC235F30}">
    <text>Uvjet za pristup ispitima</text>
  </threadedComment>
  <threadedComment ref="E10" dT="2024-11-21T08:59:13.51" personId="{468A9F94-3E22-4C77-9DB2-F93CA62472B4}" id="{3DA5E5CE-04C7-4A04-95E6-9DE8C31FE75C}">
    <text>87 izvrstan
75 vrlo dobar
63 dobar
51 dovoljan</text>
  </threadedComment>
  <threadedComment ref="N10" dT="2025-03-02T19:00:24.68" personId="{468A9F94-3E22-4C77-9DB2-F93CA62472B4}" id="{DA85A33D-7B99-4E17-A32C-9E4906C61077}">
    <text xml:space="preserve">Uvjet za pristup ispitima
</text>
  </threadedComment>
  <threadedComment ref="N12" dT="2025-03-02T19:00:50.49" personId="{468A9F94-3E22-4C77-9DB2-F93CA62472B4}" id="{D9CF852A-0375-4C38-AF91-8CAC596671FD}">
    <text>Prvi dio gradiva</text>
  </threadedComment>
  <threadedComment ref="N13" dT="2025-03-02T19:01:02.92" personId="{468A9F94-3E22-4C77-9DB2-F93CA62472B4}" id="{6309D525-D827-482B-9A39-0646B9E2E206}">
    <text>Sve, s naglaskom na drugi dio gradiva</text>
  </threadedComment>
  <threadedComment ref="D14" dT="2024-12-19T21:49:37.30" personId="{468A9F94-3E22-4C77-9DB2-F93CA62472B4}" id="{27D88512-BA59-4154-8CB4-12212F791AFF}">
    <text>Labosi obavezni</text>
  </threadedComment>
  <threadedComment ref="O14" dT="2024-11-13T10:37:13.38" personId="{468A9F94-3E22-4C77-9DB2-F93CA62472B4}" id="{371499E3-78DB-492B-8E4B-EE7E23A8DBE5}">
    <text>85 izvrstan
70 vrlo dobar
60 dobar
50 dovoljan</text>
  </threadedComment>
  <threadedComment ref="E17" dT="2024-11-15T22:05:34.71" personId="{468A9F94-3E22-4C77-9DB2-F93CA62472B4}" id="{FD607AF2-A4D3-40BD-A5F3-790416A4E9BA}">
    <text>90 izvrstan
80 vrlo dobar
65 dobar
50 dovoljan</text>
  </threadedComment>
  <threadedComment ref="N19" dT="2024-12-20T20:38:50.36" personId="{468A9F94-3E22-4C77-9DB2-F93CA62472B4}" id="{F59C7529-6B14-4C97-BEEF-05676F3AF82F}">
    <text>Prag: 2 boda
Samostalno u okviru dz</text>
  </threadedComment>
  <threadedComment ref="O22" dT="2024-11-13T10:03:36.94" personId="{468A9F94-3E22-4C77-9DB2-F93CA62472B4}" id="{938FDBA0-7F5B-4BA9-ABE6-00F0A0CB672C}">
    <text>88 izvrstan
75 vrlo dobar
63 dobar
50 dovoljan</text>
  </threadedComment>
  <threadedComment ref="D23" dT="2024-01-13T19:43:29.26" personId="{FD268F47-D829-4CB8-89FB-B62E668C6620}" id="{5C4BB125-22E3-4A30-B20B-0BD872ABB933}">
    <text>86 izvrstan
72 vrlo dobar
58 dobar
50 dovoljan</text>
  </threadedComment>
  <threadedComment ref="E23" dT="2024-11-21T09:02:28.36" personId="{468A9F94-3E22-4C77-9DB2-F93CA62472B4}" id="{836540B6-D269-459F-A626-701017D20EBB}">
    <text>85 izvrstan
70 vrlo dobar
55 dobar
45 dovoljan</text>
  </threadedComment>
  <threadedComment ref="O29" dT="2024-11-13T08:58:48.64" personId="{468A9F94-3E22-4C77-9DB2-F93CA62472B4}" id="{AF9A24F3-02A7-47A7-913E-BE4D1F1E4713}">
    <text>87,5 izvrstan
75 vrlo dobar
62,5 dobar
50 dovoljan</text>
  </threadedComment>
  <threadedComment ref="D35" dT="2024-11-21T09:54:05.33" personId="{468A9F94-3E22-4C77-9DB2-F93CA62472B4}" id="{EEB20AF1-A055-4790-B6EC-38102446D910}">
    <text>Završni ispit: Pismeni 37.5 %</text>
  </threadedComment>
  <threadedComment ref="E36" dT="2024-11-21T09:03:06.96" personId="{468A9F94-3E22-4C77-9DB2-F93CA62472B4}" id="{0C95786C-8ED9-49A6-AAF0-B47FD5840F1C}">
    <text>85 izvrstan
75 vrlo dobar
60 dobar
50 dovoljan</text>
  </threadedComment>
  <threadedComment ref="O38" dT="2024-11-13T10:03:36.94" personId="{468A9F94-3E22-4C77-9DB2-F93CA62472B4}" id="{AE146B34-74B0-4FEE-B5C7-B3B9E13BB3E3}">
    <text>85 izvrstan
70 vrlo dobar
55 dobar
40 dovoljan</text>
  </threadedComment>
  <threadedComment ref="N44" dT="2024-11-21T09:54:05.33" personId="{468A9F94-3E22-4C77-9DB2-F93CA62472B4}" id="{3F95E7A5-5892-45F3-B916-024E1F8230BB}">
    <text>Završni ispit: Pismeni 37.5 %</text>
  </threadedComment>
  <threadedComment ref="O45" dT="2024-11-21T09:03:06.96" personId="{468A9F94-3E22-4C77-9DB2-F93CA62472B4}" id="{A5BB001A-0452-42AE-93CB-F3E7CE7B58B0}">
    <text>85 izvrstan
75 vrlo dobar
60 dobar
50 dovoljan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APapratt13/Academic_Weapon/tree/master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2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5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hyperlink" Target="https://www.fer.unizg.hr/_download/repository/Uvodno%20predavanje%5b1%5d.pdf" TargetMode="External"/><Relationship Id="rId1" Type="http://schemas.openxmlformats.org/officeDocument/2006/relationships/hyperlink" Target="https://www.fer.unizg.hr/_download/repository/OS_00_pravila_2023_24.pdf" TargetMode="External"/><Relationship Id="rId5" Type="http://schemas.microsoft.com/office/2017/10/relationships/threadedComment" Target="../threadedComments/threadedComment7.xml"/><Relationship Id="rId4" Type="http://schemas.openxmlformats.org/officeDocument/2006/relationships/comments" Target="../comments7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hyperlink" Target="https://www.fer.unizg.hr/_download/repository/Uvodno%20predavanje%5b1%5d.pdf" TargetMode="External"/><Relationship Id="rId1" Type="http://schemas.openxmlformats.org/officeDocument/2006/relationships/hyperlink" Target="https://www.fer.unizg.hr/_download/repository/OS_00_pravila_2023_24.pdf" TargetMode="External"/><Relationship Id="rId5" Type="http://schemas.microsoft.com/office/2017/10/relationships/threadedComment" Target="../threadedComments/threadedComment8.xml"/><Relationship Id="rId4" Type="http://schemas.openxmlformats.org/officeDocument/2006/relationships/comments" Target="../comments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A5BB1-5D44-4F3D-8F14-D97808DE5CC5}">
  <dimension ref="A1:O18"/>
  <sheetViews>
    <sheetView zoomScale="121" zoomScaleNormal="155" workbookViewId="0">
      <selection activeCell="I17" sqref="I17"/>
    </sheetView>
  </sheetViews>
  <sheetFormatPr defaultColWidth="8.88671875" defaultRowHeight="14.4" x14ac:dyDescent="0.3"/>
  <cols>
    <col min="1" max="1" width="8.88671875" style="43" customWidth="1"/>
    <col min="2" max="5" width="8.88671875" style="43"/>
    <col min="6" max="6" width="11" style="253" bestFit="1" customWidth="1"/>
    <col min="7" max="16384" width="8.88671875" style="43"/>
  </cols>
  <sheetData>
    <row r="1" spans="1:15" ht="15" thickBot="1" x14ac:dyDescent="0.35">
      <c r="A1" s="794" t="s">
        <v>51</v>
      </c>
      <c r="B1" s="794"/>
      <c r="C1" s="794"/>
      <c r="D1" s="794"/>
      <c r="E1" s="794"/>
      <c r="F1" s="292"/>
    </row>
    <row r="2" spans="1:15" ht="15" thickBot="1" x14ac:dyDescent="0.35">
      <c r="A2" s="293" t="s">
        <v>57</v>
      </c>
      <c r="B2" s="43" t="s">
        <v>56</v>
      </c>
      <c r="H2" s="281" t="s">
        <v>54</v>
      </c>
      <c r="I2" s="282">
        <f>SUM(F4,F9, G15, O15)</f>
        <v>55</v>
      </c>
    </row>
    <row r="3" spans="1:15" ht="15" thickBot="1" x14ac:dyDescent="0.35">
      <c r="A3" s="799" t="s">
        <v>52</v>
      </c>
      <c r="B3" s="799"/>
      <c r="C3" s="799"/>
      <c r="D3" s="799"/>
      <c r="E3" s="800"/>
      <c r="F3" s="291"/>
      <c r="H3" s="275"/>
      <c r="I3" s="275"/>
      <c r="J3" s="275"/>
      <c r="K3" s="275"/>
      <c r="L3" s="208"/>
    </row>
    <row r="4" spans="1:15" ht="15.6" thickTop="1" thickBot="1" x14ac:dyDescent="0.35">
      <c r="A4" s="283" t="s">
        <v>0</v>
      </c>
      <c r="B4" s="283" t="s">
        <v>9</v>
      </c>
      <c r="C4" s="283" t="s">
        <v>10</v>
      </c>
      <c r="D4" s="283" t="s">
        <v>16</v>
      </c>
      <c r="E4" s="289" t="s">
        <v>29</v>
      </c>
      <c r="F4" s="797">
        <f>SUM(A5:E5)</f>
        <v>25</v>
      </c>
      <c r="H4" s="275"/>
      <c r="I4" s="275"/>
      <c r="J4" s="275"/>
      <c r="K4" s="275"/>
      <c r="L4" s="275"/>
    </row>
    <row r="5" spans="1:15" ht="15" thickBot="1" x14ac:dyDescent="0.35">
      <c r="A5" s="284">
        <f>IF(SUM(A6:A7)&gt;0,6,0)</f>
        <v>6</v>
      </c>
      <c r="B5" s="284">
        <f>IF(SUM(B6:B7)&gt;0,7,0)</f>
        <v>7</v>
      </c>
      <c r="C5" s="284">
        <f>IF(SUM(C6:C7)&gt;0,5,0)</f>
        <v>0</v>
      </c>
      <c r="D5" s="284">
        <f>IF(SUM(D6:D7)&gt;0,8,0)</f>
        <v>8</v>
      </c>
      <c r="E5" s="290">
        <f>IF(SUM(E6:E7)&gt;0,4,0)</f>
        <v>4</v>
      </c>
      <c r="F5" s="798"/>
    </row>
    <row r="6" spans="1:15" ht="15" thickTop="1" x14ac:dyDescent="0.3">
      <c r="A6" s="534">
        <f>IF('SEM1'!E7 &gt;1, 1, 0)</f>
        <v>1</v>
      </c>
      <c r="B6" s="534">
        <f>IF('SEM1'!E13 &gt;1, 1, 0)</f>
        <v>1</v>
      </c>
      <c r="C6" s="534">
        <f>IF('SEM1'!E19 &gt;1, 1, 0)</f>
        <v>0</v>
      </c>
      <c r="D6" s="534">
        <f>IF('SEM1'!E25 &gt;1, 1, 0)</f>
        <v>1</v>
      </c>
      <c r="E6" s="534">
        <f>IF('SEM1'!E36 &gt;1, 1, 0)</f>
        <v>1</v>
      </c>
      <c r="F6" s="529"/>
    </row>
    <row r="7" spans="1:15" ht="15" thickBot="1" x14ac:dyDescent="0.35">
      <c r="A7" s="535">
        <f>IF(SEM1_rokovi!E4 &gt;1, 1, 0)</f>
        <v>0</v>
      </c>
      <c r="B7" s="535">
        <f>IF(SEM1_rokovi!E9 &gt;1, 1, 0)</f>
        <v>0</v>
      </c>
      <c r="C7" s="535">
        <f>IF(SEM1_rokovi!E12 &gt;1, 1, 0)</f>
        <v>0</v>
      </c>
      <c r="D7" s="535">
        <f>IF(SEM1_rokovi!E15 &gt;1, 1, 0)</f>
        <v>0</v>
      </c>
      <c r="E7" s="535">
        <f>IF(SEM1_rokovi!E22 &gt;1, 1, 0)</f>
        <v>0</v>
      </c>
      <c r="F7" s="529"/>
    </row>
    <row r="8" spans="1:15" ht="15.6" thickTop="1" thickBot="1" x14ac:dyDescent="0.35">
      <c r="A8" s="795" t="s">
        <v>53</v>
      </c>
      <c r="B8" s="796"/>
      <c r="C8" s="796"/>
      <c r="D8" s="796"/>
      <c r="E8" s="796"/>
      <c r="F8" s="291"/>
    </row>
    <row r="9" spans="1:15" ht="15.6" thickTop="1" thickBot="1" x14ac:dyDescent="0.35">
      <c r="A9" s="285" t="s">
        <v>44</v>
      </c>
      <c r="B9" s="287" t="s">
        <v>36</v>
      </c>
      <c r="C9" s="287" t="s">
        <v>37</v>
      </c>
      <c r="D9" s="287" t="s">
        <v>45</v>
      </c>
      <c r="E9" s="287" t="s">
        <v>41</v>
      </c>
      <c r="F9" s="788">
        <f>SUM(A10:E10)</f>
        <v>30</v>
      </c>
    </row>
    <row r="10" spans="1:15" ht="15" thickBot="1" x14ac:dyDescent="0.35">
      <c r="A10" s="286">
        <f>IF(SUM(A11:A12)&gt;0,6,0)</f>
        <v>6</v>
      </c>
      <c r="B10" s="288">
        <f>IF(SUM(B11:B12)&gt;0,8,0)</f>
        <v>8</v>
      </c>
      <c r="C10" s="288">
        <f>IF(SUM(C11:C12)&gt;0,7,0)</f>
        <v>7</v>
      </c>
      <c r="D10" s="288">
        <f>IF(SUM(D11:D12)&gt;0,7,0)</f>
        <v>7</v>
      </c>
      <c r="E10" s="288">
        <f>IF(SUM(E11:E12)&gt;0,2,0)</f>
        <v>2</v>
      </c>
      <c r="F10" s="789"/>
    </row>
    <row r="11" spans="1:15" ht="15" thickTop="1" x14ac:dyDescent="0.3">
      <c r="A11" s="534">
        <f>IF('SEM2'!E7 &gt;1, 1, 0)</f>
        <v>0</v>
      </c>
      <c r="B11" s="534">
        <f>IF('SEM2'!E14 &gt;1, 1, 0)</f>
        <v>1</v>
      </c>
      <c r="C11" s="534">
        <f>IF('SEM2'!E24 &gt;1, 1, 0)</f>
        <v>0</v>
      </c>
      <c r="D11" s="534">
        <f>IF('SEM2'!E30 &gt;1, 1, 0)</f>
        <v>0</v>
      </c>
      <c r="E11" s="534">
        <f>IF('SEM2'!E35 &gt;1, 1, 0)</f>
        <v>1</v>
      </c>
      <c r="F11" s="529"/>
      <c r="H11" s="208"/>
      <c r="I11" s="208"/>
      <c r="J11" s="208"/>
      <c r="K11" s="208"/>
      <c r="L11" s="208"/>
    </row>
    <row r="12" spans="1:15" x14ac:dyDescent="0.3">
      <c r="A12" s="534">
        <f>IF(SEM2_rokovi!E6 &gt;1, 1, 0)</f>
        <v>1</v>
      </c>
      <c r="B12" s="534">
        <f>IF(SEM2_rokovi!E9 &gt;1, 1, 0)</f>
        <v>0</v>
      </c>
      <c r="C12" s="534">
        <f>IF(SEM2_rokovi!E18 &gt;1, 1, 0)</f>
        <v>1</v>
      </c>
      <c r="D12" s="534">
        <f>IF(SEM2_rokovi!E21 &gt;1, 1, 0)</f>
        <v>1</v>
      </c>
      <c r="E12" s="534">
        <f>IF(SEM2_rokovi!E24 &gt;1, 1, 0)</f>
        <v>0</v>
      </c>
      <c r="F12" s="529"/>
      <c r="H12" s="208"/>
      <c r="I12" s="208"/>
      <c r="J12" s="208"/>
      <c r="K12" s="208"/>
      <c r="L12" s="208"/>
    </row>
    <row r="13" spans="1:15" ht="15" thickBot="1" x14ac:dyDescent="0.35"/>
    <row r="14" spans="1:15" ht="15.6" thickTop="1" thickBot="1" x14ac:dyDescent="0.35">
      <c r="A14" s="790" t="s">
        <v>81</v>
      </c>
      <c r="B14" s="791"/>
      <c r="C14" s="791"/>
      <c r="D14" s="791"/>
      <c r="E14" s="791"/>
      <c r="F14" s="291"/>
      <c r="I14" s="792" t="s">
        <v>87</v>
      </c>
      <c r="J14" s="793"/>
      <c r="K14" s="793"/>
      <c r="L14" s="793"/>
      <c r="M14" s="793"/>
      <c r="N14" s="291"/>
    </row>
    <row r="15" spans="1:15" ht="15.6" thickTop="1" thickBot="1" x14ac:dyDescent="0.35">
      <c r="A15" s="530" t="s">
        <v>82</v>
      </c>
      <c r="B15" s="531" t="s">
        <v>83</v>
      </c>
      <c r="C15" s="531" t="s">
        <v>84</v>
      </c>
      <c r="D15" s="531" t="s">
        <v>45</v>
      </c>
      <c r="E15" s="531" t="s">
        <v>85</v>
      </c>
      <c r="F15" s="531" t="s">
        <v>86</v>
      </c>
      <c r="G15" s="788">
        <f>SUM(A16:E16)</f>
        <v>0</v>
      </c>
      <c r="I15" s="532" t="s">
        <v>75</v>
      </c>
      <c r="J15" s="533" t="s">
        <v>74</v>
      </c>
      <c r="K15" s="533" t="s">
        <v>76</v>
      </c>
      <c r="L15" s="533" t="s">
        <v>77</v>
      </c>
      <c r="M15" s="533" t="s">
        <v>78</v>
      </c>
      <c r="N15" s="533" t="s">
        <v>86</v>
      </c>
      <c r="O15" s="788">
        <f>SUM(I16:M16)</f>
        <v>0</v>
      </c>
    </row>
    <row r="16" spans="1:15" ht="15" thickBot="1" x14ac:dyDescent="0.35">
      <c r="A16" s="286">
        <f>IF(SUM(A17:A18)&gt;0,6,0)</f>
        <v>0</v>
      </c>
      <c r="B16" s="288">
        <f>IF(SUM(B17:B18)&gt;0,8,0)</f>
        <v>0</v>
      </c>
      <c r="C16" s="288">
        <f>IF(SUM(C17:C18)&gt;0,7,0)</f>
        <v>0</v>
      </c>
      <c r="D16" s="288">
        <f>IF(SUM(D17:D18)&gt;0,7,0)</f>
        <v>0</v>
      </c>
      <c r="E16" s="288">
        <f>IF(SUM(E17:E18)&gt;0,2,0)</f>
        <v>0</v>
      </c>
      <c r="F16" s="288">
        <f>IF(SUM(F17:F18)&gt;0,2,0)</f>
        <v>0</v>
      </c>
      <c r="G16" s="789"/>
      <c r="I16" s="286">
        <f>IF(SUM(I17:I18)&gt;0,6,0)</f>
        <v>0</v>
      </c>
      <c r="J16" s="288">
        <f>IF(SUM(J17:J18)&gt;0,8,0)</f>
        <v>0</v>
      </c>
      <c r="K16" s="288">
        <f>IF(SUM(K17:K18)&gt;0,7,0)</f>
        <v>0</v>
      </c>
      <c r="L16" s="288">
        <f>IF(SUM(L17:L18)&gt;0,7,0)</f>
        <v>0</v>
      </c>
      <c r="M16" s="288">
        <f>IF(SUM(M17:M18)&gt;0,2,0)</f>
        <v>0</v>
      </c>
      <c r="N16" s="288">
        <f>IF(SUM(N17:N18)&gt;0,2,0)</f>
        <v>0</v>
      </c>
      <c r="O16" s="789"/>
    </row>
    <row r="17" spans="1:14" ht="15" thickTop="1" x14ac:dyDescent="0.3">
      <c r="A17" s="534">
        <f>IF(SEM3_E!E5 &gt;1, 1, 0)</f>
        <v>0</v>
      </c>
      <c r="B17" s="534">
        <f>IF(SEM3_E!E14 &gt;1, 1, 0)</f>
        <v>0</v>
      </c>
      <c r="C17" s="534">
        <f>IF(SEM3_E!E22 &gt;1, 1, 0)</f>
        <v>0</v>
      </c>
      <c r="D17" s="534">
        <f>IF(SEM3_E!E29 &gt;1, 1, 0)</f>
        <v>0</v>
      </c>
      <c r="E17" s="534">
        <f>IF(SEM3_E!E37 &gt;1, 1, 0)</f>
        <v>0</v>
      </c>
      <c r="F17" s="534">
        <f>IF(SEM3_E!E45 &gt;1, 1, 0)</f>
        <v>0</v>
      </c>
      <c r="I17" s="534">
        <f>IF(SEM3_R!E5 &gt;1, 1, 0)</f>
        <v>0</v>
      </c>
      <c r="J17" s="534">
        <f>IF(SEM3_R!E12 &gt;1, 1, 0)</f>
        <v>0</v>
      </c>
      <c r="K17" s="534">
        <f>IF(SEM3_R!E19 &gt;1, 1, 0)</f>
        <v>0</v>
      </c>
      <c r="L17" s="534">
        <f>IF(SEM3_R!E27 &gt;1, 1, 0)</f>
        <v>0</v>
      </c>
      <c r="M17" s="534">
        <f>IF(SEM3_R!E33 &gt;1, 1, 0)</f>
        <v>0</v>
      </c>
      <c r="N17" s="534">
        <f>IF(SEM3_R!E41 &gt;1, 1, 0)</f>
        <v>0</v>
      </c>
    </row>
    <row r="18" spans="1:14" x14ac:dyDescent="0.3">
      <c r="A18" s="534">
        <f>IF(SEM3_rokovi!E5 &gt;1, 1, 0)</f>
        <v>0</v>
      </c>
      <c r="B18" s="534">
        <f>IF(SEM3_rokovi!E13 &gt;1, 1, 0)</f>
        <v>0</v>
      </c>
      <c r="C18" s="534">
        <f>IF(SEM3_rokovi!E20 &gt;1, 1, 0)</f>
        <v>0</v>
      </c>
      <c r="D18" s="534">
        <f>IF(SEM3_rokovi!E25 &gt;1, 1, 0)</f>
        <v>0</v>
      </c>
      <c r="E18" s="534">
        <f>IF(SEM3_rokovi!E32 &gt;1, 1, 0)</f>
        <v>0</v>
      </c>
      <c r="F18" s="534">
        <f>IF(SEM3_rokovi!F40 &gt;1, 1, 0)</f>
        <v>0</v>
      </c>
      <c r="I18" s="534">
        <f>IF(SEM3_rokovi!M4 &gt;1, 1, 0)</f>
        <v>0</v>
      </c>
      <c r="J18" s="534">
        <f>IF(SEM3_rokovi!M11 &gt;1, 1, 0)</f>
        <v>0</v>
      </c>
      <c r="K18" s="534">
        <f>IF(SEM3_rokovi!M17 &gt;1, 1, 0)</f>
        <v>0</v>
      </c>
      <c r="L18" s="534">
        <f>IF(SEM3_rokovi!M24 &gt;1, 1, 0)</f>
        <v>0</v>
      </c>
      <c r="M18" s="534">
        <f>IF(SEM3_rokovi!M29 &gt;1, 1, 0)</f>
        <v>0</v>
      </c>
      <c r="N18" s="534">
        <f>IF(SEM3_rokovi!M37 &gt;1, 1, 0)</f>
        <v>0</v>
      </c>
    </row>
  </sheetData>
  <mergeCells count="9">
    <mergeCell ref="O15:O16"/>
    <mergeCell ref="A14:E14"/>
    <mergeCell ref="G15:G16"/>
    <mergeCell ref="I14:M14"/>
    <mergeCell ref="A1:E1"/>
    <mergeCell ref="A8:E8"/>
    <mergeCell ref="F4:F5"/>
    <mergeCell ref="F9:F10"/>
    <mergeCell ref="A3:E3"/>
  </mergeCells>
  <hyperlinks>
    <hyperlink ref="A2" r:id="rId1" xr:uid="{AED85BA7-2BF7-44CB-B181-5EE3391179F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4.9989318521683403E-2"/>
  </sheetPr>
  <dimension ref="A1:T36"/>
  <sheetViews>
    <sheetView zoomScale="120" zoomScaleNormal="120" workbookViewId="0">
      <selection activeCell="H8" sqref="H8"/>
    </sheetView>
  </sheetViews>
  <sheetFormatPr defaultColWidth="8.88671875" defaultRowHeight="14.4" x14ac:dyDescent="0.3"/>
  <cols>
    <col min="1" max="1" width="13.5546875" style="43" customWidth="1"/>
    <col min="2" max="2" width="11.5546875" style="43" customWidth="1"/>
    <col min="3" max="3" width="9.109375" style="43" bestFit="1" customWidth="1"/>
    <col min="4" max="4" width="12.33203125" style="43" customWidth="1"/>
    <col min="5" max="16384" width="8.88671875" style="43"/>
  </cols>
  <sheetData>
    <row r="1" spans="1:20" ht="15" thickBot="1" x14ac:dyDescent="0.35">
      <c r="A1" s="8" t="s">
        <v>0</v>
      </c>
      <c r="B1" s="9" t="s">
        <v>6</v>
      </c>
      <c r="C1" s="10" t="s">
        <v>7</v>
      </c>
      <c r="D1" s="11" t="s">
        <v>13</v>
      </c>
      <c r="F1" s="279" t="s">
        <v>55</v>
      </c>
      <c r="I1" s="294"/>
      <c r="J1" s="294"/>
      <c r="K1" s="294"/>
      <c r="L1" s="294"/>
      <c r="M1" s="294"/>
      <c r="N1" s="294"/>
      <c r="O1" s="294"/>
      <c r="P1" s="294"/>
      <c r="Q1" s="294"/>
    </row>
    <row r="2" spans="1:20" ht="15" thickBot="1" x14ac:dyDescent="0.35">
      <c r="A2" s="12" t="s">
        <v>1</v>
      </c>
      <c r="B2" s="23"/>
      <c r="C2" s="24">
        <v>15</v>
      </c>
      <c r="D2" s="25">
        <f>B2/C2</f>
        <v>0</v>
      </c>
      <c r="E2" s="44"/>
      <c r="F2" s="277">
        <f>SUM(F7:F36)</f>
        <v>25</v>
      </c>
      <c r="I2" s="294"/>
      <c r="J2" s="294"/>
      <c r="K2" s="294"/>
      <c r="L2" s="294"/>
      <c r="M2" s="294"/>
      <c r="N2" s="294"/>
      <c r="O2" s="294"/>
      <c r="P2" s="294"/>
      <c r="Q2" s="294"/>
    </row>
    <row r="3" spans="1:20" x14ac:dyDescent="0.3">
      <c r="A3" s="13" t="s">
        <v>2</v>
      </c>
      <c r="B3" s="15"/>
      <c r="C3" s="16">
        <v>10</v>
      </c>
      <c r="D3" s="17">
        <f t="shared" ref="D3:D7" si="0">B3/C3</f>
        <v>0</v>
      </c>
      <c r="I3" s="294"/>
      <c r="J3" s="294"/>
      <c r="K3" s="294"/>
      <c r="L3" s="254"/>
      <c r="M3" s="138" t="s">
        <v>15</v>
      </c>
      <c r="N3" s="138" t="s">
        <v>0</v>
      </c>
      <c r="O3" s="138" t="s">
        <v>9</v>
      </c>
      <c r="P3" s="138" t="s">
        <v>10</v>
      </c>
      <c r="Q3" s="138" t="s">
        <v>16</v>
      </c>
      <c r="R3" s="138" t="s">
        <v>29</v>
      </c>
    </row>
    <row r="4" spans="1:20" x14ac:dyDescent="0.3">
      <c r="A4" s="13" t="s">
        <v>3</v>
      </c>
      <c r="B4" s="20"/>
      <c r="C4" s="21">
        <v>5</v>
      </c>
      <c r="D4" s="22">
        <f t="shared" si="0"/>
        <v>0</v>
      </c>
      <c r="I4" s="294"/>
      <c r="J4" s="294"/>
      <c r="K4" s="294"/>
      <c r="L4" s="254"/>
      <c r="M4" s="138">
        <v>1</v>
      </c>
      <c r="N4" s="138">
        <v>1</v>
      </c>
      <c r="O4" s="138">
        <v>1</v>
      </c>
      <c r="P4" s="138">
        <v>1</v>
      </c>
      <c r="Q4" s="138">
        <v>1</v>
      </c>
      <c r="R4" s="138">
        <v>1</v>
      </c>
      <c r="S4" s="88"/>
      <c r="T4" s="88"/>
    </row>
    <row r="5" spans="1:20" ht="15" thickBot="1" x14ac:dyDescent="0.35">
      <c r="A5" s="13" t="s">
        <v>4</v>
      </c>
      <c r="B5" s="15"/>
      <c r="C5" s="16">
        <v>30</v>
      </c>
      <c r="D5" s="17">
        <f t="shared" si="0"/>
        <v>0</v>
      </c>
      <c r="I5" s="294"/>
      <c r="J5" s="294"/>
      <c r="K5" s="294"/>
      <c r="L5" s="254"/>
      <c r="M5" s="138">
        <v>2</v>
      </c>
      <c r="N5" s="138">
        <f>IF($B$7 &gt;= 50, 1, 0)</f>
        <v>1</v>
      </c>
      <c r="O5" s="138">
        <f>IF($B$13 &gt;= 50, 1, 0)</f>
        <v>1</v>
      </c>
      <c r="P5" s="138">
        <f>IF($B$19 &gt;= 45, 1, 0)</f>
        <v>0</v>
      </c>
      <c r="Q5" s="138">
        <f>IF($B$25 &gt;= 50, 1,)</f>
        <v>1</v>
      </c>
      <c r="R5" s="138">
        <f>IF($B$36 &gt;= 60, 1,)</f>
        <v>1</v>
      </c>
      <c r="S5" s="88"/>
      <c r="T5" s="88"/>
    </row>
    <row r="6" spans="1:20" x14ac:dyDescent="0.3">
      <c r="A6" s="13" t="s">
        <v>5</v>
      </c>
      <c r="B6" s="20">
        <v>50</v>
      </c>
      <c r="C6" s="21">
        <v>40</v>
      </c>
      <c r="D6" s="78">
        <f>B6/C6</f>
        <v>1.25</v>
      </c>
      <c r="E6" s="80" t="s">
        <v>14</v>
      </c>
      <c r="F6" s="279" t="s">
        <v>50</v>
      </c>
      <c r="I6" s="294"/>
      <c r="J6" s="294"/>
      <c r="K6" s="294"/>
      <c r="L6" s="254"/>
      <c r="M6" s="138">
        <v>3</v>
      </c>
      <c r="N6" s="138">
        <f>IF($B$7 &gt;= 62, 1, 0)</f>
        <v>0</v>
      </c>
      <c r="O6" s="138">
        <f>IF($B$13 &gt;= 62.5, 1, 0)</f>
        <v>0</v>
      </c>
      <c r="P6" s="138">
        <f>IF($B$19 &gt;= 55, 1, )</f>
        <v>0</v>
      </c>
      <c r="Q6" s="138">
        <f>IF($B$25 &gt;= 58, 1, )</f>
        <v>0</v>
      </c>
      <c r="R6" s="138">
        <f>IF($B$36 &gt;= 70, 1,)</f>
        <v>1</v>
      </c>
      <c r="S6" s="88"/>
      <c r="T6" s="88"/>
    </row>
    <row r="7" spans="1:20" ht="15" thickBot="1" x14ac:dyDescent="0.35">
      <c r="A7" s="14" t="s">
        <v>8</v>
      </c>
      <c r="B7" s="18">
        <f>SUM(B2:B6)</f>
        <v>50</v>
      </c>
      <c r="C7" s="19">
        <v>100</v>
      </c>
      <c r="D7" s="79">
        <f t="shared" si="0"/>
        <v>0.5</v>
      </c>
      <c r="E7" s="84">
        <f>N9</f>
        <v>2</v>
      </c>
      <c r="F7" s="277">
        <f>IF($E$7 &gt;1, 6, 0)</f>
        <v>6</v>
      </c>
      <c r="I7" s="294"/>
      <c r="J7" s="294"/>
      <c r="K7" s="294"/>
      <c r="L7" s="254"/>
      <c r="M7" s="138">
        <v>4</v>
      </c>
      <c r="N7" s="138">
        <f>IF($B$7 &gt;= 75, 1, 0)</f>
        <v>0</v>
      </c>
      <c r="O7" s="138">
        <f>IF($B$13 &gt;= 75, 1, 0)</f>
        <v>0</v>
      </c>
      <c r="P7" s="138">
        <f>IF($B$19 &gt;= 70, 1, 0)</f>
        <v>0</v>
      </c>
      <c r="Q7" s="138">
        <f>IF($B$25 &gt;= 72, 1, )</f>
        <v>0</v>
      </c>
      <c r="R7" s="138">
        <f>IF($B$36 &gt;= 80, 1,)</f>
        <v>1</v>
      </c>
      <c r="S7" s="88"/>
      <c r="T7" s="88"/>
    </row>
    <row r="8" spans="1:20" ht="15" thickBot="1" x14ac:dyDescent="0.35">
      <c r="I8" s="294"/>
      <c r="J8" s="294"/>
      <c r="K8" s="294"/>
      <c r="L8" s="254"/>
      <c r="M8" s="138">
        <v>5</v>
      </c>
      <c r="N8" s="138">
        <f>IF($B$7 &gt;= 88, 1, 0)</f>
        <v>0</v>
      </c>
      <c r="O8" s="138">
        <f>IF($B$13 &gt;= 87.5, 1, 0)</f>
        <v>0</v>
      </c>
      <c r="P8" s="138">
        <f>IF($B$19 &gt;= 85, 1, 0)</f>
        <v>0</v>
      </c>
      <c r="Q8" s="138">
        <f>IF($B$25 &gt;= 86, 1, 0)</f>
        <v>0</v>
      </c>
      <c r="R8" s="138">
        <f>IF($B$36 &gt;= 90, 1,)</f>
        <v>1</v>
      </c>
      <c r="S8" s="88"/>
      <c r="T8" s="88"/>
    </row>
    <row r="9" spans="1:20" ht="15" thickBot="1" x14ac:dyDescent="0.35">
      <c r="A9" s="39" t="s">
        <v>9</v>
      </c>
      <c r="B9" s="40" t="s">
        <v>6</v>
      </c>
      <c r="C9" s="41" t="s">
        <v>7</v>
      </c>
      <c r="D9" s="42" t="s">
        <v>13</v>
      </c>
      <c r="I9" s="294"/>
      <c r="J9" s="294"/>
      <c r="K9" s="294"/>
      <c r="L9" s="254"/>
      <c r="M9" s="138" t="s">
        <v>17</v>
      </c>
      <c r="N9" s="138">
        <f>SUM(N4:N8)</f>
        <v>2</v>
      </c>
      <c r="O9" s="138">
        <f t="shared" ref="O9" si="1">SUM(O4:O8)</f>
        <v>2</v>
      </c>
      <c r="P9" s="138">
        <f t="shared" ref="P9" si="2">SUM(P4:P8)</f>
        <v>1</v>
      </c>
      <c r="Q9" s="138">
        <f t="shared" ref="Q9" si="3">SUM(Q4:Q8)</f>
        <v>2</v>
      </c>
      <c r="R9" s="138">
        <f>SUM(R4:R8)</f>
        <v>5</v>
      </c>
      <c r="S9" s="88"/>
      <c r="T9" s="88"/>
    </row>
    <row r="10" spans="1:20" x14ac:dyDescent="0.3">
      <c r="A10" s="36" t="s">
        <v>1</v>
      </c>
      <c r="B10" s="33"/>
      <c r="C10" s="34">
        <v>30</v>
      </c>
      <c r="D10" s="35">
        <f>B10/C10</f>
        <v>0</v>
      </c>
      <c r="I10" s="294"/>
      <c r="J10" s="294"/>
      <c r="K10" s="294"/>
      <c r="L10" s="254"/>
      <c r="M10" s="254"/>
      <c r="N10" s="254"/>
      <c r="O10" s="254"/>
      <c r="P10" s="254"/>
      <c r="Q10" s="254"/>
      <c r="R10" s="88"/>
      <c r="S10" s="88"/>
      <c r="T10" s="88"/>
    </row>
    <row r="11" spans="1:20" ht="15" thickBot="1" x14ac:dyDescent="0.35">
      <c r="A11" s="37" t="s">
        <v>4</v>
      </c>
      <c r="B11" s="26"/>
      <c r="C11" s="27">
        <v>30</v>
      </c>
      <c r="D11" s="28">
        <f t="shared" ref="D11:D13" si="4">B11/C11</f>
        <v>0</v>
      </c>
      <c r="I11" s="294"/>
      <c r="J11" s="294"/>
      <c r="K11" s="294"/>
      <c r="L11" s="294"/>
      <c r="M11" s="294"/>
      <c r="N11" s="294"/>
      <c r="O11" s="294"/>
      <c r="P11" s="294"/>
      <c r="Q11" s="294"/>
      <c r="R11" s="88"/>
      <c r="S11" s="88"/>
      <c r="T11" s="88"/>
    </row>
    <row r="12" spans="1:20" x14ac:dyDescent="0.3">
      <c r="A12" s="37" t="s">
        <v>5</v>
      </c>
      <c r="B12" s="31">
        <v>62</v>
      </c>
      <c r="C12" s="32">
        <v>40</v>
      </c>
      <c r="D12" s="76">
        <f t="shared" si="4"/>
        <v>1.55</v>
      </c>
      <c r="E12" s="81" t="s">
        <v>14</v>
      </c>
      <c r="F12" s="279" t="s">
        <v>50</v>
      </c>
      <c r="I12" s="294"/>
      <c r="J12" s="294"/>
      <c r="K12" s="294"/>
      <c r="L12" s="294"/>
      <c r="M12" s="294"/>
      <c r="N12" s="294"/>
      <c r="O12" s="294"/>
      <c r="P12" s="294"/>
      <c r="Q12" s="294"/>
      <c r="R12" s="88"/>
      <c r="S12" s="88"/>
      <c r="T12" s="88"/>
    </row>
    <row r="13" spans="1:20" ht="15" thickBot="1" x14ac:dyDescent="0.35">
      <c r="A13" s="38" t="s">
        <v>8</v>
      </c>
      <c r="B13" s="29">
        <f>SUM(B10:B12)</f>
        <v>62</v>
      </c>
      <c r="C13" s="30">
        <v>100</v>
      </c>
      <c r="D13" s="77">
        <f t="shared" si="4"/>
        <v>0.62</v>
      </c>
      <c r="E13" s="85">
        <f>O9</f>
        <v>2</v>
      </c>
      <c r="F13" s="277">
        <f>IF($E$13 &gt;1, 7, 0)</f>
        <v>7</v>
      </c>
      <c r="I13" s="294"/>
      <c r="J13" s="294"/>
      <c r="K13" s="294"/>
      <c r="L13" s="294"/>
      <c r="M13" s="294"/>
      <c r="N13" s="294"/>
      <c r="O13" s="294"/>
      <c r="P13" s="294"/>
      <c r="Q13" s="294"/>
      <c r="R13" s="88"/>
      <c r="S13" s="88"/>
      <c r="T13" s="88"/>
    </row>
    <row r="14" spans="1:20" ht="15" thickBot="1" x14ac:dyDescent="0.35">
      <c r="I14" s="294"/>
      <c r="J14" s="294"/>
      <c r="K14" s="294"/>
      <c r="L14" s="294"/>
      <c r="M14" s="294"/>
      <c r="N14" s="294"/>
      <c r="O14" s="294"/>
      <c r="P14" s="294"/>
      <c r="Q14" s="294"/>
    </row>
    <row r="15" spans="1:20" ht="15" thickBot="1" x14ac:dyDescent="0.35">
      <c r="A15" s="4" t="s">
        <v>10</v>
      </c>
      <c r="B15" s="5" t="s">
        <v>6</v>
      </c>
      <c r="C15" s="6" t="s">
        <v>7</v>
      </c>
      <c r="D15" s="7" t="s">
        <v>13</v>
      </c>
      <c r="I15" s="294"/>
      <c r="J15" s="294"/>
      <c r="K15" s="294"/>
      <c r="L15" s="294"/>
      <c r="M15" s="294"/>
      <c r="N15" s="294"/>
      <c r="O15" s="294"/>
      <c r="P15" s="294"/>
      <c r="Q15" s="294"/>
    </row>
    <row r="16" spans="1:20" x14ac:dyDescent="0.3">
      <c r="A16" s="1" t="s">
        <v>11</v>
      </c>
      <c r="B16" s="45">
        <f>(0.92+0.95+0.95+1)/2</f>
        <v>1.9100000000000001</v>
      </c>
      <c r="C16" s="46">
        <v>5</v>
      </c>
      <c r="D16" s="47">
        <f>B16/C16</f>
        <v>0.38200000000000001</v>
      </c>
      <c r="I16" s="294"/>
      <c r="J16" s="294"/>
      <c r="K16" s="294"/>
      <c r="L16" s="294"/>
      <c r="M16" s="294"/>
      <c r="N16" s="294"/>
      <c r="O16" s="294"/>
      <c r="P16" s="294"/>
      <c r="Q16" s="294"/>
    </row>
    <row r="17" spans="1:17" ht="15" thickBot="1" x14ac:dyDescent="0.35">
      <c r="A17" s="2" t="s">
        <v>4</v>
      </c>
      <c r="B17" s="50"/>
      <c r="C17" s="51">
        <v>50</v>
      </c>
      <c r="D17" s="52">
        <f t="shared" ref="D17:D19" si="5">B17/C17</f>
        <v>0</v>
      </c>
      <c r="I17" s="294"/>
      <c r="J17" s="294"/>
      <c r="K17" s="294"/>
      <c r="L17" s="294"/>
      <c r="M17" s="294"/>
      <c r="N17" s="294"/>
      <c r="O17" s="294"/>
      <c r="P17" s="294"/>
      <c r="Q17" s="294"/>
    </row>
    <row r="18" spans="1:17" x14ac:dyDescent="0.3">
      <c r="A18" s="2" t="s">
        <v>5</v>
      </c>
      <c r="B18" s="48"/>
      <c r="C18" s="49">
        <v>50</v>
      </c>
      <c r="D18" s="74">
        <f t="shared" si="5"/>
        <v>0</v>
      </c>
      <c r="E18" s="82" t="s">
        <v>14</v>
      </c>
      <c r="F18" s="279" t="s">
        <v>50</v>
      </c>
      <c r="I18" s="294"/>
      <c r="J18" s="294"/>
      <c r="K18" s="294"/>
      <c r="L18" s="294"/>
      <c r="M18" s="294"/>
      <c r="N18" s="294"/>
      <c r="O18" s="294"/>
      <c r="P18" s="294"/>
      <c r="Q18" s="294"/>
    </row>
    <row r="19" spans="1:17" ht="15" thickBot="1" x14ac:dyDescent="0.35">
      <c r="A19" s="3" t="s">
        <v>8</v>
      </c>
      <c r="B19" s="53">
        <f>IF((B17+B18) &gt;= 45,SUM(B16:B18),(B17+B18))</f>
        <v>0</v>
      </c>
      <c r="C19" s="54">
        <v>100</v>
      </c>
      <c r="D19" s="75">
        <f t="shared" si="5"/>
        <v>0</v>
      </c>
      <c r="E19" s="86">
        <f>P9</f>
        <v>1</v>
      </c>
      <c r="F19" s="277">
        <f>IF($E$19 &gt;1, 5, 0)</f>
        <v>0</v>
      </c>
      <c r="I19" s="294"/>
      <c r="J19" s="294"/>
      <c r="K19" s="294"/>
      <c r="L19" s="294"/>
      <c r="M19" s="294"/>
      <c r="N19" s="294"/>
      <c r="O19" s="294"/>
      <c r="P19" s="294"/>
      <c r="Q19" s="294"/>
    </row>
    <row r="20" spans="1:17" ht="15" thickBot="1" x14ac:dyDescent="0.35">
      <c r="I20" s="294"/>
      <c r="J20" s="294"/>
      <c r="K20" s="294"/>
      <c r="L20" s="294"/>
      <c r="M20" s="294"/>
      <c r="N20" s="294"/>
      <c r="O20" s="294"/>
      <c r="P20" s="294"/>
      <c r="Q20" s="294"/>
    </row>
    <row r="21" spans="1:17" ht="15" thickBot="1" x14ac:dyDescent="0.35">
      <c r="A21" s="55" t="s">
        <v>12</v>
      </c>
      <c r="B21" s="56" t="s">
        <v>6</v>
      </c>
      <c r="C21" s="57" t="s">
        <v>7</v>
      </c>
      <c r="D21" s="58" t="s">
        <v>13</v>
      </c>
      <c r="I21" s="294"/>
      <c r="J21" s="294"/>
      <c r="K21" s="294"/>
      <c r="L21" s="294"/>
      <c r="M21" s="294"/>
      <c r="N21" s="294"/>
      <c r="O21" s="294"/>
      <c r="P21" s="294"/>
      <c r="Q21" s="294"/>
    </row>
    <row r="22" spans="1:17" x14ac:dyDescent="0.3">
      <c r="A22" s="59" t="s">
        <v>3</v>
      </c>
      <c r="B22" s="62"/>
      <c r="C22" s="63">
        <v>6</v>
      </c>
      <c r="D22" s="64">
        <f>B22/C22</f>
        <v>0</v>
      </c>
      <c r="I22" s="294"/>
      <c r="J22" s="294"/>
      <c r="K22" s="294"/>
      <c r="L22" s="294"/>
      <c r="M22" s="294"/>
      <c r="N22" s="294"/>
      <c r="O22" s="294"/>
      <c r="P22" s="294"/>
      <c r="Q22" s="294"/>
    </row>
    <row r="23" spans="1:17" ht="15" thickBot="1" x14ac:dyDescent="0.35">
      <c r="A23" s="60" t="s">
        <v>4</v>
      </c>
      <c r="B23" s="67"/>
      <c r="C23" s="68">
        <v>47</v>
      </c>
      <c r="D23" s="69">
        <f t="shared" ref="D23:D25" si="6">B23/C23</f>
        <v>0</v>
      </c>
      <c r="I23" s="294"/>
      <c r="J23" s="294"/>
      <c r="K23" s="294"/>
      <c r="L23" s="294"/>
      <c r="M23" s="294"/>
      <c r="N23" s="294"/>
      <c r="O23" s="294"/>
      <c r="P23" s="294"/>
      <c r="Q23" s="294"/>
    </row>
    <row r="24" spans="1:17" x14ac:dyDescent="0.3">
      <c r="A24" s="60" t="s">
        <v>5</v>
      </c>
      <c r="B24" s="65">
        <v>50</v>
      </c>
      <c r="C24" s="66">
        <v>47</v>
      </c>
      <c r="D24" s="72">
        <f t="shared" si="6"/>
        <v>1.0638297872340425</v>
      </c>
      <c r="E24" s="83" t="s">
        <v>14</v>
      </c>
      <c r="F24" s="279" t="s">
        <v>50</v>
      </c>
      <c r="I24" s="294"/>
      <c r="J24" s="294"/>
      <c r="K24" s="294"/>
      <c r="L24" s="294"/>
      <c r="M24" s="294"/>
      <c r="N24" s="294"/>
      <c r="O24" s="294"/>
      <c r="P24" s="294"/>
      <c r="Q24" s="294"/>
    </row>
    <row r="25" spans="1:17" ht="15" thickBot="1" x14ac:dyDescent="0.35">
      <c r="A25" s="61" t="s">
        <v>8</v>
      </c>
      <c r="B25" s="70">
        <f>SUM(B22:B24)</f>
        <v>50</v>
      </c>
      <c r="C25" s="71">
        <v>100</v>
      </c>
      <c r="D25" s="73">
        <f t="shared" si="6"/>
        <v>0.5</v>
      </c>
      <c r="E25" s="87">
        <f>Q9</f>
        <v>2</v>
      </c>
      <c r="F25" s="277">
        <f>IF($E$25 &gt;1, 8, 0)</f>
        <v>8</v>
      </c>
      <c r="I25" s="294"/>
      <c r="J25" s="294"/>
      <c r="K25" s="294"/>
      <c r="L25" s="294"/>
      <c r="M25" s="294"/>
      <c r="N25" s="294"/>
      <c r="O25" s="294"/>
      <c r="P25" s="294"/>
      <c r="Q25" s="294"/>
    </row>
    <row r="26" spans="1:17" x14ac:dyDescent="0.3">
      <c r="I26" s="294"/>
      <c r="J26" s="294"/>
      <c r="K26" s="294"/>
      <c r="L26" s="294"/>
      <c r="M26" s="294"/>
      <c r="N26" s="294"/>
      <c r="O26" s="294"/>
      <c r="P26" s="294"/>
      <c r="Q26" s="294"/>
    </row>
    <row r="27" spans="1:17" ht="15" thickBot="1" x14ac:dyDescent="0.35">
      <c r="I27" s="294"/>
      <c r="J27" s="294"/>
      <c r="K27" s="294"/>
      <c r="L27" s="294"/>
      <c r="M27" s="294"/>
      <c r="N27" s="294"/>
      <c r="O27" s="294"/>
      <c r="P27" s="294"/>
      <c r="Q27" s="294"/>
    </row>
    <row r="28" spans="1:17" ht="15" thickBot="1" x14ac:dyDescent="0.35">
      <c r="A28" s="132" t="s">
        <v>24</v>
      </c>
      <c r="B28" s="130" t="s">
        <v>6</v>
      </c>
      <c r="C28" s="123" t="s">
        <v>7</v>
      </c>
      <c r="D28" s="124" t="s">
        <v>13</v>
      </c>
      <c r="I28" s="294"/>
      <c r="J28" s="294"/>
      <c r="K28" s="294"/>
      <c r="L28" s="294"/>
      <c r="M28" s="294"/>
      <c r="N28" s="294"/>
      <c r="O28" s="294"/>
      <c r="P28" s="294"/>
      <c r="Q28" s="294"/>
    </row>
    <row r="29" spans="1:17" x14ac:dyDescent="0.3">
      <c r="A29" s="131" t="s">
        <v>25</v>
      </c>
      <c r="B29" s="125"/>
      <c r="C29" s="126">
        <v>10</v>
      </c>
      <c r="D29" s="133">
        <f>B29/C29</f>
        <v>0</v>
      </c>
      <c r="I29" s="294"/>
      <c r="J29" s="294"/>
      <c r="K29" s="294"/>
      <c r="L29" s="294"/>
      <c r="M29" s="294"/>
      <c r="N29" s="294"/>
      <c r="O29" s="294"/>
      <c r="P29" s="294"/>
      <c r="Q29" s="294"/>
    </row>
    <row r="30" spans="1:17" x14ac:dyDescent="0.3">
      <c r="A30" s="121" t="s">
        <v>27</v>
      </c>
      <c r="B30" s="127"/>
      <c r="C30" s="118">
        <v>5</v>
      </c>
      <c r="D30" s="134">
        <f t="shared" ref="D30:D36" si="7">B30/C30</f>
        <v>0</v>
      </c>
      <c r="I30" s="294"/>
      <c r="J30" s="294"/>
      <c r="K30" s="294"/>
      <c r="L30" s="294"/>
      <c r="M30" s="294"/>
      <c r="N30" s="294"/>
      <c r="O30" s="294"/>
      <c r="P30" s="294"/>
      <c r="Q30" s="294"/>
    </row>
    <row r="31" spans="1:17" x14ac:dyDescent="0.3">
      <c r="A31" s="121" t="s">
        <v>3</v>
      </c>
      <c r="B31" s="128"/>
      <c r="C31" s="117">
        <v>10</v>
      </c>
      <c r="D31" s="135">
        <f t="shared" si="7"/>
        <v>0</v>
      </c>
      <c r="I31" s="294"/>
      <c r="J31" s="294"/>
      <c r="K31" s="294"/>
      <c r="L31" s="294"/>
      <c r="M31" s="294"/>
      <c r="N31" s="294"/>
      <c r="O31" s="294"/>
      <c r="P31" s="294"/>
      <c r="Q31" s="294"/>
    </row>
    <row r="32" spans="1:17" x14ac:dyDescent="0.3">
      <c r="A32" s="121" t="s">
        <v>11</v>
      </c>
      <c r="B32" s="127"/>
      <c r="C32" s="118">
        <v>25</v>
      </c>
      <c r="D32" s="134">
        <f t="shared" si="7"/>
        <v>0</v>
      </c>
      <c r="I32" s="294"/>
      <c r="J32" s="294"/>
      <c r="K32" s="294"/>
      <c r="L32" s="294"/>
      <c r="M32" s="294"/>
      <c r="N32" s="294"/>
      <c r="O32" s="294"/>
      <c r="P32" s="294"/>
      <c r="Q32" s="294"/>
    </row>
    <row r="33" spans="1:17" x14ac:dyDescent="0.3">
      <c r="A33" s="121" t="s">
        <v>26</v>
      </c>
      <c r="B33" s="128"/>
      <c r="C33" s="117">
        <v>30</v>
      </c>
      <c r="D33" s="135">
        <f t="shared" si="7"/>
        <v>0</v>
      </c>
      <c r="I33" s="294"/>
      <c r="J33" s="294"/>
      <c r="K33" s="294"/>
      <c r="L33" s="294"/>
      <c r="M33" s="294"/>
      <c r="N33" s="294"/>
      <c r="O33" s="294"/>
      <c r="P33" s="294"/>
      <c r="Q33" s="294"/>
    </row>
    <row r="34" spans="1:17" ht="15" thickBot="1" x14ac:dyDescent="0.35">
      <c r="A34" s="121" t="s">
        <v>31</v>
      </c>
      <c r="B34" s="127"/>
      <c r="C34" s="118">
        <v>10</v>
      </c>
      <c r="D34" s="134">
        <f t="shared" si="7"/>
        <v>0</v>
      </c>
      <c r="I34" s="294"/>
      <c r="J34" s="294"/>
      <c r="K34" s="294"/>
      <c r="L34" s="294"/>
      <c r="M34" s="294"/>
      <c r="N34" s="294"/>
      <c r="O34" s="294"/>
      <c r="P34" s="294"/>
      <c r="Q34" s="294"/>
    </row>
    <row r="35" spans="1:17" x14ac:dyDescent="0.3">
      <c r="A35" s="121" t="s">
        <v>28</v>
      </c>
      <c r="B35" s="128">
        <v>91</v>
      </c>
      <c r="C35" s="117">
        <v>20</v>
      </c>
      <c r="D35" s="135">
        <f t="shared" si="7"/>
        <v>4.55</v>
      </c>
      <c r="E35" s="137" t="s">
        <v>14</v>
      </c>
      <c r="F35" s="279" t="s">
        <v>50</v>
      </c>
    </row>
    <row r="36" spans="1:17" ht="15" thickBot="1" x14ac:dyDescent="0.35">
      <c r="A36" s="122" t="s">
        <v>8</v>
      </c>
      <c r="B36" s="129">
        <f>SUM(B29:B35)</f>
        <v>91</v>
      </c>
      <c r="C36" s="120">
        <v>100</v>
      </c>
      <c r="D36" s="136">
        <f t="shared" si="7"/>
        <v>0.91</v>
      </c>
      <c r="E36" s="139">
        <f>R9</f>
        <v>5</v>
      </c>
      <c r="F36" s="277">
        <f>IF($E$36 &gt;1, 4, 0)</f>
        <v>4</v>
      </c>
    </row>
  </sheetData>
  <conditionalFormatting sqref="D2 D7 D13 D25 D29:D33 D35">
    <cfRule type="iconSet" priority="8">
      <iconSet iconSet="3Symbols2">
        <cfvo type="percent" val="0"/>
        <cfvo type="num" val="0.5"/>
        <cfvo type="num" val="0.5"/>
      </iconSet>
    </cfRule>
  </conditionalFormatting>
  <conditionalFormatting sqref="D2:D4 D12 D15 D29:D36 D6:D9">
    <cfRule type="dataBar" priority="5">
      <dataBar>
        <cfvo type="num" val="0"/>
        <cfvo type="num" val="1"/>
        <color rgb="FF00B0F0"/>
      </dataBar>
      <extLst>
        <ext xmlns:x14="http://schemas.microsoft.com/office/spreadsheetml/2009/9/main" uri="{B025F937-C7B1-47D3-B67F-A62EFF666E3E}">
          <x14:id>{09D29813-1A5F-4C87-9AD2-6D28F23B09B2}</x14:id>
        </ext>
      </extLst>
    </cfRule>
  </conditionalFormatting>
  <conditionalFormatting sqref="D6">
    <cfRule type="iconSet" priority="1">
      <iconSet iconSet="3Symbols2">
        <cfvo type="percent" val="0"/>
        <cfvo type="num" val="0.39"/>
        <cfvo type="num" val="0.39"/>
      </iconSet>
    </cfRule>
  </conditionalFormatting>
  <conditionalFormatting sqref="D10:D13 D16:D19 D22:D25 D2:D7">
    <cfRule type="dataBar" priority="9">
      <dataBar>
        <cfvo type="num" val="0"/>
        <cfvo type="num" val="1"/>
        <color rgb="FF00B0F0"/>
      </dataBar>
      <extLst>
        <ext xmlns:x14="http://schemas.microsoft.com/office/spreadsheetml/2009/9/main" uri="{B025F937-C7B1-47D3-B67F-A62EFF666E3E}">
          <x14:id>{BDEEF6D8-2305-47FF-8299-63F9DB48D21B}</x14:id>
        </ext>
      </extLst>
    </cfRule>
  </conditionalFormatting>
  <conditionalFormatting sqref="D12">
    <cfRule type="iconSet" priority="7">
      <iconSet iconSet="3Symbols2">
        <cfvo type="percent" val="0"/>
        <cfvo type="num" val="0.4"/>
        <cfvo type="num" val="0.4"/>
      </iconSet>
    </cfRule>
  </conditionalFormatting>
  <conditionalFormatting sqref="D19">
    <cfRule type="iconSet" priority="3">
      <iconSet iconSet="3Symbols2">
        <cfvo type="percent" val="0"/>
        <cfvo type="num" val="0.45"/>
        <cfvo type="num" val="0.45"/>
      </iconSet>
    </cfRule>
  </conditionalFormatting>
  <conditionalFormatting sqref="D36">
    <cfRule type="iconSet" priority="2">
      <iconSet iconSet="3Symbols2">
        <cfvo type="percent" val="0"/>
        <cfvo type="num" val="0.6"/>
        <cfvo type="num" val="0.6"/>
      </iconSe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9D29813-1A5F-4C87-9AD2-6D28F23B09B2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B0F0"/>
              <x14:negativeFillColor rgb="FFFF0000"/>
              <x14:negativeBorderColor rgb="FFFF0000"/>
              <x14:axisColor rgb="FF000000"/>
            </x14:dataBar>
          </x14:cfRule>
          <xm:sqref>D2:D4 D12 D15 D29:D36 D6:D9</xm:sqref>
        </x14:conditionalFormatting>
        <x14:conditionalFormatting xmlns:xm="http://schemas.microsoft.com/office/excel/2006/main">
          <x14:cfRule type="dataBar" id="{BDEEF6D8-2305-47FF-8299-63F9DB48D21B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B0F0"/>
              <x14:negativeFillColor rgb="FFFF0000"/>
              <x14:negativeBorderColor rgb="FFFF0000"/>
              <x14:axisColor rgb="FF000000"/>
            </x14:dataBar>
          </x14:cfRule>
          <xm:sqref>D10:D13 D16:D19 D22:D25 D2:D7</xm:sqref>
        </x14:conditionalFormatting>
        <x14:conditionalFormatting xmlns:xm="http://schemas.microsoft.com/office/excel/2006/main">
          <x14:cfRule type="iconSet" priority="6" id="{22EE1DB6-E84D-464A-A597-8CB03284CDC0}">
            <x14:iconSet iconSet="3Stars">
              <x14:cfvo type="percent">
                <xm:f>0</xm:f>
              </x14:cfvo>
              <x14:cfvo type="num">
                <xm:f>2</xm:f>
              </x14:cfvo>
              <x14:cfvo type="num">
                <xm:f>2</xm:f>
              </x14:cfvo>
            </x14:iconSet>
          </x14:cfRule>
          <xm:sqref>E7 E13 E19 E25 E36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9E857-27D0-4456-BD14-AA85986C9660}">
  <sheetPr>
    <tabColor theme="0" tint="-4.9989318521683403E-2"/>
  </sheetPr>
  <dimension ref="A1:X28"/>
  <sheetViews>
    <sheetView zoomScale="120" zoomScaleNormal="120" workbookViewId="0">
      <selection activeCell="B27" sqref="B27"/>
    </sheetView>
  </sheetViews>
  <sheetFormatPr defaultColWidth="8.88671875" defaultRowHeight="14.4" x14ac:dyDescent="0.3"/>
  <cols>
    <col min="1" max="1" width="8.88671875" style="43"/>
    <col min="2" max="2" width="10.6640625" style="43" customWidth="1"/>
    <col min="3" max="3" width="9.109375" style="43" customWidth="1"/>
    <col min="4" max="4" width="13.88671875" style="43" customWidth="1"/>
    <col min="5" max="16384" width="8.88671875" style="43"/>
  </cols>
  <sheetData>
    <row r="1" spans="1:24" ht="15" thickBot="1" x14ac:dyDescent="0.35">
      <c r="A1" s="8" t="s">
        <v>0</v>
      </c>
      <c r="B1" s="9" t="s">
        <v>6</v>
      </c>
      <c r="C1" s="10" t="s">
        <v>7</v>
      </c>
      <c r="D1" s="11" t="s">
        <v>13</v>
      </c>
      <c r="F1" s="279" t="s">
        <v>55</v>
      </c>
      <c r="H1" s="195"/>
      <c r="I1" s="195"/>
      <c r="J1" s="195"/>
      <c r="K1" s="254"/>
      <c r="L1" s="254"/>
      <c r="M1" s="254"/>
      <c r="N1" s="254"/>
      <c r="O1" s="254"/>
      <c r="P1" s="254"/>
      <c r="Q1" s="254"/>
      <c r="R1" s="195"/>
      <c r="S1" s="195"/>
      <c r="T1" s="195"/>
      <c r="U1" s="195"/>
      <c r="V1" s="195"/>
      <c r="W1" s="195"/>
      <c r="X1" s="195"/>
    </row>
    <row r="2" spans="1:24" ht="15" thickBot="1" x14ac:dyDescent="0.35">
      <c r="A2" s="12" t="s">
        <v>1</v>
      </c>
      <c r="B2" s="23">
        <f>'SEM1'!B2</f>
        <v>0</v>
      </c>
      <c r="C2" s="24">
        <v>15</v>
      </c>
      <c r="D2" s="25">
        <f t="shared" ref="D2:D4" si="0">B2/C2</f>
        <v>0</v>
      </c>
      <c r="F2" s="277">
        <f>SUM(F4:F34)</f>
        <v>0</v>
      </c>
      <c r="H2" s="195"/>
      <c r="I2" s="195"/>
      <c r="J2" s="195"/>
      <c r="K2" s="254"/>
      <c r="L2" s="254"/>
      <c r="M2" s="254"/>
      <c r="N2" s="254"/>
      <c r="O2" s="254"/>
      <c r="P2" s="254"/>
      <c r="Q2" s="254"/>
      <c r="R2" s="195"/>
      <c r="S2" s="195"/>
      <c r="T2" s="195"/>
      <c r="U2" s="195"/>
      <c r="V2" s="195"/>
      <c r="W2" s="195"/>
      <c r="X2" s="195"/>
    </row>
    <row r="3" spans="1:24" x14ac:dyDescent="0.3">
      <c r="A3" s="13" t="s">
        <v>18</v>
      </c>
      <c r="B3" s="15"/>
      <c r="C3" s="16">
        <v>85</v>
      </c>
      <c r="D3" s="111">
        <f t="shared" si="0"/>
        <v>0</v>
      </c>
      <c r="E3" s="105" t="s">
        <v>23</v>
      </c>
      <c r="F3" s="279" t="s">
        <v>50</v>
      </c>
      <c r="H3" s="195"/>
      <c r="I3" s="195"/>
      <c r="J3" s="195"/>
      <c r="K3" s="254"/>
      <c r="L3" s="89" t="s">
        <v>15</v>
      </c>
      <c r="M3" s="89" t="s">
        <v>0</v>
      </c>
      <c r="N3" s="89" t="s">
        <v>9</v>
      </c>
      <c r="O3" s="89" t="s">
        <v>10</v>
      </c>
      <c r="P3" s="89" t="s">
        <v>16</v>
      </c>
      <c r="Q3" s="138" t="s">
        <v>29</v>
      </c>
      <c r="R3" s="195"/>
      <c r="S3" s="195"/>
      <c r="T3" s="195"/>
      <c r="U3" s="195"/>
      <c r="V3" s="195"/>
      <c r="W3" s="195"/>
      <c r="X3" s="195"/>
    </row>
    <row r="4" spans="1:24" ht="15" thickBot="1" x14ac:dyDescent="0.35">
      <c r="A4" s="14" t="s">
        <v>21</v>
      </c>
      <c r="B4" s="94">
        <f>SUM(B2:B3)</f>
        <v>0</v>
      </c>
      <c r="C4" s="92">
        <v>100</v>
      </c>
      <c r="D4" s="112">
        <f t="shared" si="0"/>
        <v>0</v>
      </c>
      <c r="E4" s="110">
        <f>M9</f>
        <v>1</v>
      </c>
      <c r="F4" s="277">
        <f>IF($E$4 &gt;1, 6, 0)</f>
        <v>0</v>
      </c>
      <c r="H4" s="195"/>
      <c r="I4" s="195"/>
      <c r="J4" s="195"/>
      <c r="K4" s="254"/>
      <c r="L4" s="89">
        <v>1</v>
      </c>
      <c r="M4" s="89">
        <v>1</v>
      </c>
      <c r="N4" s="89">
        <v>1</v>
      </c>
      <c r="O4" s="89">
        <v>1</v>
      </c>
      <c r="P4" s="89">
        <v>1</v>
      </c>
      <c r="Q4" s="138">
        <v>1</v>
      </c>
      <c r="R4" s="195"/>
      <c r="S4" s="195"/>
      <c r="T4" s="195"/>
      <c r="U4" s="195"/>
      <c r="V4" s="195"/>
      <c r="W4" s="195"/>
      <c r="X4" s="195"/>
    </row>
    <row r="5" spans="1:24" ht="15" thickBot="1" x14ac:dyDescent="0.35">
      <c r="A5" s="90"/>
      <c r="B5" s="90"/>
      <c r="C5" s="90"/>
      <c r="D5" s="90"/>
      <c r="H5" s="195"/>
      <c r="I5" s="195"/>
      <c r="J5" s="195"/>
      <c r="K5" s="254"/>
      <c r="L5" s="89">
        <v>2</v>
      </c>
      <c r="M5" s="89">
        <f>IF($B$4 &gt;= 50, 1, 0)</f>
        <v>0</v>
      </c>
      <c r="N5" s="89">
        <f>IF($B$9 &gt;= 50, 1, 0)</f>
        <v>0</v>
      </c>
      <c r="O5" s="89">
        <f>IF($B$12 &gt;= 45, 1, 0)</f>
        <v>0</v>
      </c>
      <c r="P5" s="89">
        <f>IF($B$15 &gt;= 50, 1,)</f>
        <v>0</v>
      </c>
      <c r="Q5" s="138">
        <f>IF($B$23 &gt;= 60, 1,)</f>
        <v>0</v>
      </c>
      <c r="R5" s="195"/>
      <c r="S5" s="195"/>
      <c r="T5" s="195"/>
      <c r="U5" s="195"/>
      <c r="V5" s="195"/>
      <c r="W5" s="195"/>
      <c r="X5" s="195"/>
    </row>
    <row r="6" spans="1:24" ht="15" thickBot="1" x14ac:dyDescent="0.35">
      <c r="A6" s="39" t="s">
        <v>9</v>
      </c>
      <c r="B6" s="40" t="s">
        <v>6</v>
      </c>
      <c r="C6" s="41" t="s">
        <v>7</v>
      </c>
      <c r="D6" s="42" t="s">
        <v>13</v>
      </c>
      <c r="H6" s="195"/>
      <c r="I6" s="195"/>
      <c r="J6" s="195"/>
      <c r="K6" s="254"/>
      <c r="L6" s="89">
        <v>3</v>
      </c>
      <c r="M6" s="89">
        <f>IF($B$4 &gt;= 62, 1, 0)</f>
        <v>0</v>
      </c>
      <c r="N6" s="89">
        <f>IF($B$9 &gt;= 62.5, 1, 0)</f>
        <v>0</v>
      </c>
      <c r="O6" s="89">
        <f>IF($B$12 &gt;= 55, 1, )</f>
        <v>0</v>
      </c>
      <c r="P6" s="89">
        <f>IF($B$15 &gt;= 58, 1, )</f>
        <v>0</v>
      </c>
      <c r="Q6" s="138">
        <f>IF($B$23 &gt;= 70, 1,)</f>
        <v>0</v>
      </c>
      <c r="R6" s="195"/>
      <c r="S6" s="195"/>
      <c r="T6" s="195"/>
      <c r="U6" s="195"/>
      <c r="V6" s="195"/>
      <c r="W6" s="195"/>
      <c r="X6" s="195"/>
    </row>
    <row r="7" spans="1:24" ht="15" thickBot="1" x14ac:dyDescent="0.35">
      <c r="A7" s="36" t="s">
        <v>1</v>
      </c>
      <c r="B7" s="33">
        <f>'SEM1'!B10</f>
        <v>0</v>
      </c>
      <c r="C7" s="34">
        <v>30</v>
      </c>
      <c r="D7" s="35">
        <f>B7/C7</f>
        <v>0</v>
      </c>
      <c r="H7" s="195"/>
      <c r="I7" s="195"/>
      <c r="J7" s="195"/>
      <c r="K7" s="254"/>
      <c r="L7" s="89">
        <v>4</v>
      </c>
      <c r="M7" s="89">
        <f>IF($B$4 &gt;= 75, 1, 0)</f>
        <v>0</v>
      </c>
      <c r="N7" s="89">
        <f>IF($B$9 &gt;= 75, 1, 0)</f>
        <v>0</v>
      </c>
      <c r="O7" s="89">
        <f>IF($B$12&gt;= 70, 1, 0)</f>
        <v>0</v>
      </c>
      <c r="P7" s="89">
        <f>IF($B$15 &gt;= 72, 1, )</f>
        <v>0</v>
      </c>
      <c r="Q7" s="138">
        <f>IF($B$23 &gt;= 80, 1,)</f>
        <v>0</v>
      </c>
      <c r="R7" s="195"/>
      <c r="S7" s="195"/>
      <c r="T7" s="195"/>
      <c r="U7" s="195"/>
      <c r="V7" s="195"/>
      <c r="W7" s="195"/>
      <c r="X7" s="195"/>
    </row>
    <row r="8" spans="1:24" x14ac:dyDescent="0.3">
      <c r="A8" s="37" t="s">
        <v>18</v>
      </c>
      <c r="B8" s="26"/>
      <c r="C8" s="27">
        <v>70</v>
      </c>
      <c r="D8" s="113">
        <f t="shared" ref="D8:D9" si="1">B8/C8</f>
        <v>0</v>
      </c>
      <c r="E8" s="107" t="s">
        <v>23</v>
      </c>
      <c r="F8" s="279" t="s">
        <v>50</v>
      </c>
      <c r="H8" s="195"/>
      <c r="I8" s="195"/>
      <c r="J8" s="195"/>
      <c r="K8" s="254"/>
      <c r="L8" s="89">
        <v>5</v>
      </c>
      <c r="M8" s="89">
        <f>IF($B$4 &gt;= 88, 1, 0)</f>
        <v>0</v>
      </c>
      <c r="N8" s="89">
        <f>IF($B$9 &gt;= 87.5, 1, 0)</f>
        <v>0</v>
      </c>
      <c r="O8" s="89">
        <f>IF($B$12 &gt;= 85, 1, 0)</f>
        <v>0</v>
      </c>
      <c r="P8" s="89">
        <f>IF($B$15 &gt;= 86, 1, 0)</f>
        <v>0</v>
      </c>
      <c r="Q8" s="138">
        <f>IF($B$23 &gt;= 90, 1,)</f>
        <v>0</v>
      </c>
      <c r="R8" s="195"/>
      <c r="S8" s="195"/>
      <c r="T8" s="195"/>
      <c r="U8" s="195"/>
      <c r="V8" s="195"/>
      <c r="W8" s="195"/>
      <c r="X8" s="195"/>
    </row>
    <row r="9" spans="1:24" ht="15" thickBot="1" x14ac:dyDescent="0.35">
      <c r="A9" s="38" t="s">
        <v>21</v>
      </c>
      <c r="B9" s="93">
        <f>SUM(B7:B8)</f>
        <v>0</v>
      </c>
      <c r="C9" s="91">
        <v>100</v>
      </c>
      <c r="D9" s="114">
        <f t="shared" si="1"/>
        <v>0</v>
      </c>
      <c r="E9" s="106">
        <f>N9</f>
        <v>1</v>
      </c>
      <c r="F9" s="277">
        <f>IF($E$9 &gt;1, 7, 0)</f>
        <v>0</v>
      </c>
      <c r="H9" s="195"/>
      <c r="I9" s="195"/>
      <c r="J9" s="195"/>
      <c r="K9" s="254"/>
      <c r="L9" s="89" t="s">
        <v>17</v>
      </c>
      <c r="M9" s="89">
        <f>SUM(M4:M8)</f>
        <v>1</v>
      </c>
      <c r="N9" s="89">
        <f t="shared" ref="N9:P9" si="2">SUM(N4:N8)</f>
        <v>1</v>
      </c>
      <c r="O9" s="89">
        <f t="shared" si="2"/>
        <v>1</v>
      </c>
      <c r="P9" s="89">
        <f t="shared" si="2"/>
        <v>1</v>
      </c>
      <c r="Q9" s="138">
        <f>SUM(Q4:Q8)</f>
        <v>1</v>
      </c>
      <c r="R9" s="195"/>
      <c r="S9" s="195"/>
      <c r="T9" s="195"/>
      <c r="U9" s="195"/>
      <c r="V9" s="195"/>
      <c r="W9" s="195"/>
      <c r="X9" s="195"/>
    </row>
    <row r="10" spans="1:24" ht="15" thickBot="1" x14ac:dyDescent="0.35">
      <c r="A10" s="90"/>
      <c r="B10" s="90"/>
      <c r="C10" s="90"/>
      <c r="D10" s="90"/>
      <c r="H10" s="195"/>
      <c r="I10" s="195"/>
      <c r="J10" s="195"/>
      <c r="K10" s="254"/>
      <c r="L10" s="254"/>
      <c r="M10" s="254"/>
      <c r="N10" s="254"/>
      <c r="O10" s="254"/>
      <c r="P10" s="254"/>
      <c r="Q10" s="254"/>
      <c r="R10" s="195"/>
      <c r="S10" s="195"/>
      <c r="T10" s="195"/>
      <c r="U10" s="195"/>
      <c r="V10" s="195"/>
      <c r="W10" s="195"/>
      <c r="X10" s="195"/>
    </row>
    <row r="11" spans="1:24" ht="15" thickBot="1" x14ac:dyDescent="0.35">
      <c r="A11" s="4" t="s">
        <v>19</v>
      </c>
      <c r="B11" s="5" t="s">
        <v>6</v>
      </c>
      <c r="C11" s="6" t="s">
        <v>20</v>
      </c>
      <c r="D11" s="103" t="s">
        <v>13</v>
      </c>
      <c r="E11" s="82" t="s">
        <v>23</v>
      </c>
      <c r="F11" s="279" t="s">
        <v>50</v>
      </c>
      <c r="H11" s="195"/>
      <c r="I11" s="195"/>
      <c r="J11" s="195"/>
      <c r="K11" s="195"/>
      <c r="L11" s="195"/>
      <c r="M11" s="195"/>
      <c r="N11" s="195"/>
      <c r="O11" s="195"/>
      <c r="P11" s="195"/>
      <c r="Q11" s="195"/>
      <c r="R11" s="195"/>
      <c r="S11" s="195"/>
      <c r="T11" s="195"/>
      <c r="U11" s="195"/>
      <c r="V11" s="195"/>
      <c r="W11" s="195"/>
      <c r="X11" s="195"/>
    </row>
    <row r="12" spans="1:24" ht="15" thickBot="1" x14ac:dyDescent="0.35">
      <c r="A12" s="95" t="s">
        <v>18</v>
      </c>
      <c r="B12" s="96"/>
      <c r="C12" s="97">
        <v>100</v>
      </c>
      <c r="D12" s="115">
        <f>B12/C12</f>
        <v>0</v>
      </c>
      <c r="E12" s="109">
        <f>O9</f>
        <v>1</v>
      </c>
      <c r="F12" s="277">
        <f>IF($E$12 &gt;1, 5, 0)</f>
        <v>0</v>
      </c>
      <c r="H12" s="195"/>
      <c r="I12" s="195"/>
      <c r="J12" s="195"/>
      <c r="K12" s="195"/>
      <c r="L12" s="195"/>
      <c r="M12" s="195"/>
      <c r="N12" s="195"/>
      <c r="O12" s="195"/>
      <c r="P12" s="195"/>
      <c r="Q12" s="195"/>
      <c r="R12" s="195"/>
      <c r="S12" s="195"/>
      <c r="T12" s="195"/>
      <c r="U12" s="195"/>
      <c r="V12" s="195"/>
      <c r="W12" s="195"/>
      <c r="X12" s="195"/>
    </row>
    <row r="13" spans="1:24" ht="15" thickBot="1" x14ac:dyDescent="0.35">
      <c r="A13" s="90"/>
      <c r="B13" s="90"/>
      <c r="C13" s="90"/>
      <c r="D13" s="90"/>
      <c r="H13" s="195"/>
      <c r="I13" s="195"/>
      <c r="J13" s="195"/>
      <c r="K13" s="195"/>
      <c r="L13" s="195"/>
      <c r="M13" s="195"/>
      <c r="N13" s="195"/>
      <c r="O13" s="195"/>
      <c r="P13" s="195"/>
      <c r="Q13" s="195"/>
      <c r="R13" s="195"/>
      <c r="S13" s="195"/>
      <c r="T13" s="195"/>
      <c r="U13" s="195"/>
      <c r="V13" s="195"/>
      <c r="W13" s="195"/>
      <c r="X13" s="195"/>
    </row>
    <row r="14" spans="1:24" ht="15" thickBot="1" x14ac:dyDescent="0.35">
      <c r="A14" s="55" t="s">
        <v>22</v>
      </c>
      <c r="B14" s="98" t="s">
        <v>6</v>
      </c>
      <c r="C14" s="99" t="s">
        <v>7</v>
      </c>
      <c r="D14" s="104" t="s">
        <v>13</v>
      </c>
      <c r="E14" s="83" t="s">
        <v>23</v>
      </c>
      <c r="F14" s="279" t="s">
        <v>50</v>
      </c>
      <c r="H14" s="195"/>
      <c r="I14" s="195"/>
      <c r="J14" s="195"/>
      <c r="K14" s="195"/>
      <c r="L14" s="195"/>
      <c r="M14" s="195"/>
      <c r="N14" s="195"/>
      <c r="O14" s="195"/>
      <c r="P14" s="195"/>
      <c r="Q14" s="195"/>
      <c r="R14" s="195"/>
      <c r="S14" s="195"/>
      <c r="T14" s="195"/>
      <c r="U14" s="195"/>
      <c r="V14" s="195"/>
      <c r="W14" s="195"/>
      <c r="X14" s="195"/>
    </row>
    <row r="15" spans="1:24" ht="15" thickBot="1" x14ac:dyDescent="0.35">
      <c r="A15" s="100" t="s">
        <v>18</v>
      </c>
      <c r="B15" s="101"/>
      <c r="C15" s="102">
        <v>100</v>
      </c>
      <c r="D15" s="116">
        <f>B15/C15</f>
        <v>0</v>
      </c>
      <c r="E15" s="108">
        <f>P9</f>
        <v>1</v>
      </c>
      <c r="F15" s="277">
        <f>IF($E$15 &gt;1, 8, 0)</f>
        <v>0</v>
      </c>
      <c r="H15" s="195"/>
      <c r="I15" s="195"/>
      <c r="J15" s="195"/>
      <c r="K15" s="195"/>
      <c r="L15" s="195"/>
      <c r="M15" s="195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</row>
    <row r="16" spans="1:24" ht="15" thickBot="1" x14ac:dyDescent="0.35">
      <c r="H16" s="195"/>
      <c r="I16" s="195"/>
      <c r="J16" s="195"/>
      <c r="K16" s="195"/>
      <c r="L16" s="195"/>
      <c r="M16" s="195"/>
      <c r="N16" s="195"/>
      <c r="O16" s="195"/>
      <c r="P16" s="195"/>
      <c r="Q16" s="195"/>
      <c r="R16" s="195"/>
      <c r="S16" s="195"/>
      <c r="T16" s="195"/>
      <c r="U16" s="195"/>
      <c r="V16" s="195"/>
      <c r="W16" s="195"/>
      <c r="X16" s="195"/>
    </row>
    <row r="17" spans="1:24" ht="15" thickBot="1" x14ac:dyDescent="0.35">
      <c r="A17" s="132" t="s">
        <v>30</v>
      </c>
      <c r="B17" s="130" t="s">
        <v>6</v>
      </c>
      <c r="C17" s="123" t="s">
        <v>7</v>
      </c>
      <c r="D17" s="124" t="s">
        <v>13</v>
      </c>
      <c r="H17" s="195"/>
      <c r="I17" s="195"/>
      <c r="J17" s="195"/>
      <c r="K17" s="195"/>
      <c r="L17" s="195"/>
      <c r="M17" s="195"/>
      <c r="N17" s="195"/>
      <c r="O17" s="195"/>
      <c r="P17" s="195"/>
      <c r="Q17" s="195"/>
      <c r="R17" s="195"/>
      <c r="S17" s="195"/>
      <c r="T17" s="195"/>
      <c r="U17" s="195"/>
      <c r="V17" s="195"/>
      <c r="W17" s="195"/>
      <c r="X17" s="195"/>
    </row>
    <row r="18" spans="1:24" x14ac:dyDescent="0.3">
      <c r="A18" s="131" t="s">
        <v>11</v>
      </c>
      <c r="B18" s="125">
        <f>('SEM1'!B32/25) * 40</f>
        <v>0</v>
      </c>
      <c r="C18" s="126">
        <v>40</v>
      </c>
      <c r="D18" s="133">
        <f>B18/C18</f>
        <v>0</v>
      </c>
      <c r="H18" s="195"/>
      <c r="I18" s="195"/>
      <c r="J18" s="195"/>
      <c r="K18" s="195"/>
      <c r="L18" s="195"/>
      <c r="M18" s="195"/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</row>
    <row r="19" spans="1:24" x14ac:dyDescent="0.3">
      <c r="A19" s="121" t="s">
        <v>3</v>
      </c>
      <c r="B19" s="127"/>
      <c r="C19" s="118">
        <v>10</v>
      </c>
      <c r="D19" s="134">
        <f t="shared" ref="D19:D21" si="3">B19/C19</f>
        <v>0</v>
      </c>
      <c r="H19" s="195"/>
      <c r="I19" s="195"/>
      <c r="J19" s="195"/>
      <c r="K19" s="195"/>
      <c r="L19" s="195"/>
      <c r="M19" s="195"/>
      <c r="N19" s="195"/>
      <c r="O19" s="195"/>
      <c r="P19" s="195"/>
      <c r="Q19" s="195"/>
      <c r="R19" s="195"/>
      <c r="S19" s="195"/>
      <c r="T19" s="195"/>
      <c r="U19" s="195"/>
      <c r="V19" s="195"/>
      <c r="W19" s="195"/>
      <c r="X19" s="195"/>
    </row>
    <row r="20" spans="1:24" ht="15" thickBot="1" x14ac:dyDescent="0.35">
      <c r="A20" s="121" t="s">
        <v>26</v>
      </c>
      <c r="B20" s="128">
        <f>'SEM1'!B33</f>
        <v>0</v>
      </c>
      <c r="C20" s="117">
        <v>30</v>
      </c>
      <c r="D20" s="135">
        <f t="shared" si="3"/>
        <v>0</v>
      </c>
      <c r="H20" s="195"/>
      <c r="I20" s="195"/>
      <c r="J20" s="195"/>
      <c r="K20" s="195"/>
      <c r="L20" s="195"/>
      <c r="M20" s="195"/>
      <c r="N20" s="195"/>
      <c r="O20" s="195"/>
      <c r="P20" s="195"/>
      <c r="Q20" s="195"/>
      <c r="R20" s="195"/>
      <c r="S20" s="195"/>
      <c r="T20" s="195"/>
      <c r="U20" s="195"/>
      <c r="V20" s="195"/>
      <c r="W20" s="195"/>
      <c r="X20" s="195"/>
    </row>
    <row r="21" spans="1:24" x14ac:dyDescent="0.3">
      <c r="A21" s="121" t="s">
        <v>18</v>
      </c>
      <c r="B21" s="127"/>
      <c r="C21" s="118">
        <v>20</v>
      </c>
      <c r="D21" s="134">
        <f t="shared" si="3"/>
        <v>0</v>
      </c>
      <c r="E21" s="140" t="s">
        <v>23</v>
      </c>
      <c r="F21" s="279" t="s">
        <v>50</v>
      </c>
      <c r="H21" s="195"/>
      <c r="I21" s="195"/>
      <c r="J21" s="195"/>
      <c r="K21" s="195"/>
      <c r="L21" s="195"/>
      <c r="M21" s="195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</row>
    <row r="22" spans="1:24" ht="15" thickBot="1" x14ac:dyDescent="0.35">
      <c r="A22" s="122" t="s">
        <v>21</v>
      </c>
      <c r="B22" s="142">
        <f>SUM(B17:B21)</f>
        <v>0</v>
      </c>
      <c r="C22" s="120">
        <v>100</v>
      </c>
      <c r="D22" s="136">
        <f t="shared" ref="D22" si="4">B22/C22</f>
        <v>0</v>
      </c>
      <c r="E22" s="141">
        <f>Q9</f>
        <v>1</v>
      </c>
      <c r="F22" s="277">
        <f>IF($E$22 &gt;1, 4, 0)</f>
        <v>0</v>
      </c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5"/>
      <c r="W22" s="195"/>
      <c r="X22" s="195"/>
    </row>
    <row r="23" spans="1:24" x14ac:dyDescent="0.3">
      <c r="A23" s="119"/>
      <c r="B23" s="143"/>
      <c r="C23" s="90"/>
      <c r="D23" s="144"/>
      <c r="H23" s="195"/>
      <c r="I23" s="195"/>
      <c r="J23" s="195"/>
      <c r="K23" s="195"/>
      <c r="L23" s="195"/>
      <c r="M23" s="195"/>
      <c r="N23" s="195"/>
      <c r="O23" s="195"/>
      <c r="P23" s="195"/>
      <c r="Q23" s="195"/>
      <c r="R23" s="195"/>
      <c r="S23" s="195"/>
      <c r="T23" s="195"/>
      <c r="U23" s="195"/>
      <c r="V23" s="195"/>
      <c r="W23" s="195"/>
      <c r="X23" s="195"/>
    </row>
    <row r="24" spans="1:24" x14ac:dyDescent="0.3">
      <c r="H24" s="195"/>
      <c r="I24" s="195"/>
      <c r="J24" s="195"/>
      <c r="K24" s="195"/>
      <c r="L24" s="195"/>
      <c r="M24" s="195"/>
      <c r="N24" s="195"/>
      <c r="O24" s="195"/>
      <c r="P24" s="195"/>
      <c r="Q24" s="195"/>
      <c r="R24" s="195"/>
      <c r="S24" s="195"/>
      <c r="T24" s="195"/>
      <c r="U24" s="195"/>
      <c r="V24" s="195"/>
      <c r="W24" s="195"/>
      <c r="X24" s="195"/>
    </row>
    <row r="25" spans="1:24" x14ac:dyDescent="0.3">
      <c r="H25" s="195"/>
      <c r="I25" s="195"/>
      <c r="J25" s="195"/>
      <c r="K25" s="195"/>
      <c r="L25" s="195"/>
      <c r="M25" s="195"/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</row>
    <row r="26" spans="1:24" x14ac:dyDescent="0.3">
      <c r="H26" s="195"/>
      <c r="I26" s="195"/>
      <c r="J26" s="195"/>
      <c r="K26" s="195"/>
      <c r="L26" s="195"/>
      <c r="M26" s="195"/>
      <c r="N26" s="195"/>
      <c r="O26" s="195"/>
      <c r="P26" s="195"/>
      <c r="Q26" s="195"/>
      <c r="R26" s="195"/>
      <c r="S26" s="195"/>
      <c r="T26" s="195"/>
      <c r="U26" s="195"/>
      <c r="V26" s="195"/>
      <c r="W26" s="195"/>
      <c r="X26" s="195"/>
    </row>
    <row r="27" spans="1:24" x14ac:dyDescent="0.3">
      <c r="H27" s="195"/>
      <c r="I27" s="195"/>
      <c r="J27" s="195"/>
      <c r="K27" s="195"/>
      <c r="L27" s="195"/>
      <c r="M27" s="195"/>
      <c r="N27" s="195"/>
      <c r="O27" s="195"/>
      <c r="P27" s="195"/>
      <c r="Q27" s="195"/>
      <c r="R27" s="195"/>
      <c r="S27" s="195"/>
      <c r="T27" s="195"/>
      <c r="U27" s="195"/>
      <c r="V27" s="195"/>
      <c r="W27" s="195"/>
      <c r="X27" s="195"/>
    </row>
    <row r="28" spans="1:24" x14ac:dyDescent="0.3">
      <c r="H28" s="195"/>
      <c r="I28" s="195"/>
      <c r="J28" s="195"/>
      <c r="K28" s="195"/>
      <c r="L28" s="195"/>
      <c r="M28" s="195"/>
      <c r="N28" s="195"/>
      <c r="O28" s="195"/>
      <c r="P28" s="195"/>
      <c r="Q28" s="195"/>
      <c r="R28" s="195"/>
      <c r="S28" s="195"/>
      <c r="T28" s="195"/>
      <c r="U28" s="195"/>
      <c r="V28" s="195"/>
      <c r="W28" s="195"/>
      <c r="X28" s="195"/>
    </row>
  </sheetData>
  <conditionalFormatting sqref="D2:D4 D7:D9 D12 D15 D18:D23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{1BC900FF-8DD7-4311-8CE5-25E2A253943D}</x14:id>
        </ext>
      </extLst>
    </cfRule>
  </conditionalFormatting>
  <conditionalFormatting sqref="D2:D4 D8:D9 D15 D18 D20:D21">
    <cfRule type="iconSet" priority="3">
      <iconSet iconSet="3Symbols2">
        <cfvo type="percent" val="0"/>
        <cfvo type="num" val="0.5"/>
        <cfvo type="num" val="0.5"/>
      </iconSet>
    </cfRule>
  </conditionalFormatting>
  <conditionalFormatting sqref="D12">
    <cfRule type="iconSet" priority="2">
      <iconSet iconSet="3Symbols2">
        <cfvo type="percent" val="0"/>
        <cfvo type="num" val="0.45"/>
        <cfvo type="num" val="0.45"/>
      </iconSet>
    </cfRule>
  </conditionalFormatting>
  <conditionalFormatting sqref="D22:D23">
    <cfRule type="iconSet" priority="1">
      <iconSet iconSet="3Symbols2">
        <cfvo type="percent" val="0"/>
        <cfvo type="num" val="0.6"/>
        <cfvo type="num" val="0.6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BC900FF-8DD7-4311-8CE5-25E2A253943D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D2:D4 D7:D9 D12 D15 D18:D23</xm:sqref>
        </x14:conditionalFormatting>
        <x14:conditionalFormatting xmlns:xm="http://schemas.microsoft.com/office/excel/2006/main">
          <x14:cfRule type="iconSet" priority="4" id="{31FEB6C0-6CE1-4A7D-8351-E0976F130F51}">
            <x14:iconSet iconSet="3Stars">
              <x14:cfvo type="percent">
                <xm:f>0</xm:f>
              </x14:cfvo>
              <x14:cfvo type="num">
                <xm:f>2</xm:f>
              </x14:cfvo>
              <x14:cfvo type="num">
                <xm:f>2</xm:f>
              </x14:cfvo>
            </x14:iconSet>
          </x14:cfRule>
          <xm:sqref>E4 E9 E12 E15 E22:E23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55292-5C2A-464C-A604-04024A6EF04E}">
  <sheetPr>
    <tabColor theme="0" tint="-4.9989318521683403E-2"/>
  </sheetPr>
  <dimension ref="A1:Y39"/>
  <sheetViews>
    <sheetView zoomScale="120" zoomScaleNormal="120" workbookViewId="0">
      <selection activeCell="B21" sqref="B21"/>
    </sheetView>
  </sheetViews>
  <sheetFormatPr defaultColWidth="8.88671875" defaultRowHeight="14.4" x14ac:dyDescent="0.3"/>
  <cols>
    <col min="1" max="1" width="13.5546875" style="43" customWidth="1"/>
    <col min="2" max="2" width="11.5546875" style="43" customWidth="1"/>
    <col min="3" max="3" width="9.109375" style="43" bestFit="1" customWidth="1"/>
    <col min="4" max="4" width="12.33203125" style="43" customWidth="1"/>
    <col min="5" max="5" width="10.44140625" style="43" bestFit="1" customWidth="1"/>
    <col min="6" max="6" width="8.88671875" style="195"/>
    <col min="7" max="16384" width="8.88671875" style="43"/>
  </cols>
  <sheetData>
    <row r="1" spans="1:21" ht="15" thickBot="1" x14ac:dyDescent="0.35">
      <c r="A1" s="172" t="s">
        <v>32</v>
      </c>
      <c r="B1" s="173" t="s">
        <v>6</v>
      </c>
      <c r="C1" s="174" t="s">
        <v>7</v>
      </c>
      <c r="D1" s="175" t="s">
        <v>13</v>
      </c>
      <c r="F1" s="279" t="s">
        <v>55</v>
      </c>
      <c r="G1" s="294"/>
      <c r="H1" s="294"/>
      <c r="I1" s="294"/>
      <c r="J1" s="294"/>
      <c r="K1" s="294"/>
      <c r="L1" s="254"/>
      <c r="M1" s="294"/>
      <c r="N1" s="294"/>
      <c r="O1" s="294"/>
      <c r="P1" s="294"/>
      <c r="Q1" s="294"/>
      <c r="R1" s="294"/>
      <c r="S1" s="294"/>
      <c r="T1" s="294"/>
    </row>
    <row r="2" spans="1:21" ht="15" thickBot="1" x14ac:dyDescent="0.35">
      <c r="A2" s="161" t="s">
        <v>1</v>
      </c>
      <c r="B2" s="152">
        <v>8</v>
      </c>
      <c r="C2" s="153">
        <v>10</v>
      </c>
      <c r="D2" s="157">
        <f>B2/C2</f>
        <v>0.8</v>
      </c>
      <c r="E2" s="44"/>
      <c r="F2" s="277">
        <f>SUM(F7:F35)</f>
        <v>10</v>
      </c>
      <c r="G2" s="294"/>
      <c r="H2" s="294"/>
      <c r="I2" s="294"/>
      <c r="J2" s="294"/>
      <c r="K2" s="294"/>
      <c r="L2" s="254"/>
      <c r="M2" s="294"/>
      <c r="N2" s="294"/>
      <c r="O2" s="294"/>
      <c r="P2" s="294"/>
      <c r="Q2" s="294"/>
      <c r="R2" s="294"/>
      <c r="S2" s="294"/>
      <c r="T2" s="294"/>
    </row>
    <row r="3" spans="1:21" x14ac:dyDescent="0.3">
      <c r="A3" s="162" t="s">
        <v>2</v>
      </c>
      <c r="B3" s="164"/>
      <c r="C3" s="165">
        <v>10</v>
      </c>
      <c r="D3" s="166">
        <f t="shared" ref="D3:D5" si="0">B3/C3</f>
        <v>0</v>
      </c>
      <c r="G3" s="294"/>
      <c r="H3" s="294"/>
      <c r="I3" s="294"/>
      <c r="J3" s="294"/>
      <c r="K3" s="294"/>
      <c r="L3" s="295"/>
      <c r="M3" s="296" t="s">
        <v>15</v>
      </c>
      <c r="N3" s="296" t="s">
        <v>44</v>
      </c>
      <c r="O3" s="296" t="s">
        <v>36</v>
      </c>
      <c r="P3" s="296" t="s">
        <v>37</v>
      </c>
      <c r="Q3" s="296" t="s">
        <v>45</v>
      </c>
      <c r="R3" s="296" t="s">
        <v>41</v>
      </c>
      <c r="S3" s="295"/>
      <c r="T3" s="294"/>
    </row>
    <row r="4" spans="1:21" x14ac:dyDescent="0.3">
      <c r="A4" s="162" t="s">
        <v>33</v>
      </c>
      <c r="B4" s="155"/>
      <c r="C4" s="156">
        <v>28</v>
      </c>
      <c r="D4" s="157">
        <f t="shared" si="0"/>
        <v>0</v>
      </c>
      <c r="G4" s="294"/>
      <c r="H4" s="294"/>
      <c r="I4" s="294"/>
      <c r="J4" s="294"/>
      <c r="K4" s="294"/>
      <c r="L4" s="295"/>
      <c r="M4" s="296">
        <v>1</v>
      </c>
      <c r="N4" s="296">
        <v>1</v>
      </c>
      <c r="O4" s="296">
        <v>1</v>
      </c>
      <c r="P4" s="296">
        <v>1</v>
      </c>
      <c r="Q4" s="296">
        <v>1</v>
      </c>
      <c r="R4" s="296">
        <v>1</v>
      </c>
      <c r="S4" s="295"/>
      <c r="T4" s="294"/>
    </row>
    <row r="5" spans="1:21" ht="15" thickBot="1" x14ac:dyDescent="0.35">
      <c r="A5" s="162" t="s">
        <v>34</v>
      </c>
      <c r="B5" s="164"/>
      <c r="C5" s="165">
        <v>28</v>
      </c>
      <c r="D5" s="166">
        <f t="shared" si="0"/>
        <v>0</v>
      </c>
      <c r="G5" s="294"/>
      <c r="H5" s="294"/>
      <c r="I5" s="294"/>
      <c r="J5" s="294"/>
      <c r="K5" s="294"/>
      <c r="L5" s="295"/>
      <c r="M5" s="296">
        <v>2</v>
      </c>
      <c r="N5" s="296">
        <f>IF($B$7 &gt;= 50, 1, 0)</f>
        <v>0</v>
      </c>
      <c r="O5" s="296">
        <f>IF($B$14 &gt;= 50, 1, 0)</f>
        <v>1</v>
      </c>
      <c r="P5" s="296">
        <f>IF($B$24 &gt;= 50, 1, 0)</f>
        <v>0</v>
      </c>
      <c r="Q5" s="296">
        <f>IF($B$30 &gt;= 50, 1,)</f>
        <v>0</v>
      </c>
      <c r="R5" s="296">
        <f>IF($B$35 &gt;= 20, 1,)</f>
        <v>1</v>
      </c>
      <c r="S5" s="295"/>
      <c r="T5" s="294"/>
    </row>
    <row r="6" spans="1:21" x14ac:dyDescent="0.3">
      <c r="A6" s="162" t="s">
        <v>35</v>
      </c>
      <c r="B6" s="155"/>
      <c r="C6" s="156">
        <v>24</v>
      </c>
      <c r="D6" s="158">
        <f>B6/C6</f>
        <v>0</v>
      </c>
      <c r="E6" s="194" t="s">
        <v>14</v>
      </c>
      <c r="F6" s="280" t="s">
        <v>50</v>
      </c>
      <c r="G6" s="294"/>
      <c r="H6" s="294"/>
      <c r="I6" s="294"/>
      <c r="J6" s="294"/>
      <c r="K6" s="294"/>
      <c r="L6" s="295"/>
      <c r="M6" s="296">
        <v>3</v>
      </c>
      <c r="N6" s="296">
        <f>IF($B$7 &gt;= 60, 1, 0)</f>
        <v>0</v>
      </c>
      <c r="O6" s="296">
        <f>IF($B$14 &gt;= 65, 1, 0)</f>
        <v>1</v>
      </c>
      <c r="P6" s="296">
        <f>IF($B$24 &gt;= 62, 1, )</f>
        <v>0</v>
      </c>
      <c r="Q6" s="296">
        <f>IF($B$30 &gt;= 58, 1, )</f>
        <v>0</v>
      </c>
      <c r="R6" s="296">
        <f>IF($B$35 &gt;= 24, 1,)</f>
        <v>1</v>
      </c>
      <c r="S6" s="295"/>
      <c r="T6" s="294"/>
    </row>
    <row r="7" spans="1:21" ht="15" thickBot="1" x14ac:dyDescent="0.35">
      <c r="A7" s="163" t="s">
        <v>8</v>
      </c>
      <c r="B7" s="167">
        <f>SUM(B2:B6)</f>
        <v>8</v>
      </c>
      <c r="C7" s="168">
        <v>100</v>
      </c>
      <c r="D7" s="169">
        <f>B7/C7</f>
        <v>0.08</v>
      </c>
      <c r="E7" s="171">
        <f>N9</f>
        <v>1</v>
      </c>
      <c r="F7" s="276">
        <f>IF($E$7 &gt;1, 6, 0)</f>
        <v>0</v>
      </c>
      <c r="G7" s="294"/>
      <c r="H7" s="294"/>
      <c r="I7" s="294"/>
      <c r="J7" s="294"/>
      <c r="K7" s="294"/>
      <c r="L7" s="295"/>
      <c r="M7" s="296">
        <v>4</v>
      </c>
      <c r="N7" s="296">
        <f>IF($B$7 &gt;= 70, 1, 0)</f>
        <v>0</v>
      </c>
      <c r="O7" s="296">
        <f>IF($B$14 &gt;= 80, 1, 0)</f>
        <v>0</v>
      </c>
      <c r="P7" s="296">
        <f>IF($B$24 &gt;= 74, 1, 0)</f>
        <v>0</v>
      </c>
      <c r="Q7" s="296">
        <f>IF($B$30 &gt;= 72, 1, )</f>
        <v>0</v>
      </c>
      <c r="R7" s="296">
        <f>IF($B$35 &gt;= 30, 1,)</f>
        <v>0</v>
      </c>
      <c r="S7" s="295"/>
      <c r="T7" s="294"/>
    </row>
    <row r="8" spans="1:21" ht="15" thickBot="1" x14ac:dyDescent="0.35">
      <c r="F8" s="88"/>
      <c r="G8" s="294"/>
      <c r="H8" s="294"/>
      <c r="I8" s="294"/>
      <c r="J8" s="294"/>
      <c r="K8" s="294"/>
      <c r="L8" s="295"/>
      <c r="M8" s="296">
        <v>5</v>
      </c>
      <c r="N8" s="296">
        <f>IF($B$7 &gt;= 85, 1, 0)</f>
        <v>0</v>
      </c>
      <c r="O8" s="296">
        <f>IF($B$14 &gt;= 90, 1, 0)</f>
        <v>0</v>
      </c>
      <c r="P8" s="296">
        <f>IF($B$24 &gt;= 86, 1, 0)</f>
        <v>0</v>
      </c>
      <c r="Q8" s="296">
        <f>IF($B$30 &gt;= 86, 1, 0)</f>
        <v>0</v>
      </c>
      <c r="R8" s="296">
        <f>IF($B$35 &gt;= 36, 1,)</f>
        <v>0</v>
      </c>
      <c r="S8" s="295"/>
      <c r="T8" s="294"/>
    </row>
    <row r="9" spans="1:21" ht="15" thickBot="1" x14ac:dyDescent="0.35">
      <c r="A9" s="179" t="s">
        <v>36</v>
      </c>
      <c r="B9" s="180" t="s">
        <v>6</v>
      </c>
      <c r="C9" s="181" t="s">
        <v>7</v>
      </c>
      <c r="D9" s="182" t="s">
        <v>13</v>
      </c>
      <c r="F9" s="88"/>
      <c r="G9" s="294"/>
      <c r="H9" s="294"/>
      <c r="I9" s="294"/>
      <c r="J9" s="294"/>
      <c r="K9" s="294"/>
      <c r="L9" s="295"/>
      <c r="M9" s="296" t="s">
        <v>17</v>
      </c>
      <c r="N9" s="296">
        <f>SUM(N4:N8)</f>
        <v>1</v>
      </c>
      <c r="O9" s="296">
        <f t="shared" ref="O9:Q9" si="1">SUM(O4:O8)</f>
        <v>3</v>
      </c>
      <c r="P9" s="296">
        <f t="shared" si="1"/>
        <v>1</v>
      </c>
      <c r="Q9" s="296">
        <f t="shared" si="1"/>
        <v>1</v>
      </c>
      <c r="R9" s="296">
        <f>SUM(R4:R8)</f>
        <v>3</v>
      </c>
      <c r="S9" s="295"/>
      <c r="T9" s="294"/>
    </row>
    <row r="10" spans="1:21" x14ac:dyDescent="0.3">
      <c r="A10" s="176" t="s">
        <v>1</v>
      </c>
      <c r="B10" s="183"/>
      <c r="C10" s="184">
        <v>10</v>
      </c>
      <c r="D10" s="185">
        <f>B10/C10</f>
        <v>0</v>
      </c>
      <c r="F10" s="88"/>
      <c r="G10" s="294"/>
      <c r="H10" s="294"/>
      <c r="I10" s="294"/>
      <c r="J10" s="294"/>
      <c r="K10" s="294"/>
      <c r="L10" s="295"/>
      <c r="M10" s="295"/>
      <c r="N10" s="295"/>
      <c r="O10" s="295"/>
      <c r="P10" s="295"/>
      <c r="Q10" s="295"/>
      <c r="R10" s="295"/>
      <c r="S10" s="295"/>
      <c r="T10" s="294"/>
    </row>
    <row r="11" spans="1:21" x14ac:dyDescent="0.3">
      <c r="A11" s="176" t="s">
        <v>3</v>
      </c>
      <c r="B11" s="145"/>
      <c r="C11" s="146">
        <v>10</v>
      </c>
      <c r="D11" s="147">
        <f>B11/C11</f>
        <v>0</v>
      </c>
      <c r="F11" s="88"/>
      <c r="G11" s="294"/>
      <c r="H11" s="294"/>
      <c r="I11" s="294"/>
      <c r="J11" s="294"/>
      <c r="K11" s="294"/>
      <c r="L11" s="254"/>
      <c r="M11" s="294"/>
      <c r="N11" s="294"/>
      <c r="O11" s="294"/>
      <c r="P11" s="294"/>
      <c r="Q11" s="294"/>
      <c r="R11" s="294"/>
      <c r="S11" s="294"/>
      <c r="T11" s="294"/>
    </row>
    <row r="12" spans="1:21" ht="15" thickBot="1" x14ac:dyDescent="0.35">
      <c r="A12" s="177" t="s">
        <v>4</v>
      </c>
      <c r="B12" s="26"/>
      <c r="C12" s="27">
        <v>40</v>
      </c>
      <c r="D12" s="150">
        <f t="shared" ref="D12:D14" si="2">B12/C12</f>
        <v>0</v>
      </c>
      <c r="F12" s="88"/>
      <c r="G12" s="294"/>
      <c r="H12" s="294"/>
      <c r="I12" s="294"/>
      <c r="J12" s="294"/>
      <c r="K12" s="294"/>
      <c r="L12" s="254"/>
      <c r="M12" s="294"/>
      <c r="N12" s="294"/>
      <c r="O12" s="294"/>
      <c r="P12" s="294"/>
      <c r="Q12" s="294"/>
      <c r="R12" s="294"/>
      <c r="S12" s="294"/>
      <c r="T12" s="294"/>
    </row>
    <row r="13" spans="1:21" x14ac:dyDescent="0.3">
      <c r="A13" s="177" t="s">
        <v>5</v>
      </c>
      <c r="B13" s="297">
        <v>65</v>
      </c>
      <c r="C13" s="32">
        <v>40</v>
      </c>
      <c r="D13" s="76">
        <f t="shared" si="2"/>
        <v>1.625</v>
      </c>
      <c r="E13" s="81" t="s">
        <v>14</v>
      </c>
      <c r="F13" s="280" t="s">
        <v>50</v>
      </c>
      <c r="G13" s="294"/>
      <c r="H13" s="294"/>
      <c r="I13" s="294"/>
      <c r="J13" s="294"/>
      <c r="K13" s="294"/>
      <c r="L13" s="294"/>
      <c r="M13" s="294"/>
      <c r="N13" s="294"/>
      <c r="O13" s="294"/>
      <c r="P13" s="294"/>
      <c r="Q13" s="294"/>
      <c r="R13" s="294"/>
      <c r="S13" s="294"/>
      <c r="T13" s="294"/>
    </row>
    <row r="14" spans="1:21" ht="15" thickBot="1" x14ac:dyDescent="0.35">
      <c r="A14" s="178" t="s">
        <v>8</v>
      </c>
      <c r="B14" s="29">
        <f>SUM(B10:B13)</f>
        <v>65</v>
      </c>
      <c r="C14" s="30">
        <v>100</v>
      </c>
      <c r="D14" s="151">
        <f t="shared" si="2"/>
        <v>0.65</v>
      </c>
      <c r="E14" s="85">
        <f>O9</f>
        <v>3</v>
      </c>
      <c r="F14" s="276">
        <f>IF($E$14 &gt;1, 8, 0)</f>
        <v>8</v>
      </c>
      <c r="G14" s="294"/>
      <c r="H14" s="294"/>
      <c r="I14" s="294"/>
      <c r="J14" s="294"/>
      <c r="K14" s="294"/>
      <c r="L14" s="294"/>
      <c r="M14" s="294"/>
      <c r="N14" s="294"/>
      <c r="O14" s="294"/>
      <c r="P14" s="294"/>
      <c r="Q14" s="294"/>
      <c r="R14" s="294"/>
      <c r="S14" s="294"/>
      <c r="T14" s="294"/>
    </row>
    <row r="15" spans="1:21" ht="15" thickBot="1" x14ac:dyDescent="0.35">
      <c r="F15" s="88"/>
      <c r="G15" s="294"/>
      <c r="H15" s="294"/>
      <c r="I15" s="294"/>
      <c r="J15" s="294"/>
      <c r="K15" s="294"/>
      <c r="L15" s="294"/>
      <c r="M15" s="294"/>
      <c r="N15" s="294"/>
      <c r="O15" s="294"/>
      <c r="P15" s="294"/>
      <c r="Q15" s="294"/>
      <c r="R15" s="294"/>
      <c r="S15" s="294"/>
      <c r="T15" s="294"/>
    </row>
    <row r="16" spans="1:21" ht="15" thickBot="1" x14ac:dyDescent="0.35">
      <c r="A16" s="4" t="s">
        <v>42</v>
      </c>
      <c r="B16" s="5" t="s">
        <v>6</v>
      </c>
      <c r="C16" s="6" t="s">
        <v>7</v>
      </c>
      <c r="D16" s="7" t="s">
        <v>13</v>
      </c>
      <c r="F16" s="88"/>
      <c r="G16" s="294"/>
      <c r="H16" s="294"/>
      <c r="I16" s="294"/>
      <c r="J16" s="294"/>
      <c r="K16" s="294"/>
      <c r="L16" s="294"/>
      <c r="M16" s="294"/>
      <c r="N16" s="294"/>
      <c r="O16" s="294"/>
      <c r="P16" s="294"/>
      <c r="Q16" s="294"/>
      <c r="R16" s="294"/>
      <c r="S16" s="294"/>
      <c r="T16" s="294"/>
      <c r="U16" s="294"/>
    </row>
    <row r="17" spans="1:25" x14ac:dyDescent="0.3">
      <c r="A17" s="1" t="s">
        <v>38</v>
      </c>
      <c r="B17" s="45">
        <v>6</v>
      </c>
      <c r="C17" s="46">
        <v>6</v>
      </c>
      <c r="D17" s="47">
        <f>B17/C17</f>
        <v>1</v>
      </c>
      <c r="F17" s="88"/>
      <c r="G17" s="294"/>
      <c r="H17" s="294"/>
      <c r="I17" s="294"/>
      <c r="J17" s="294"/>
      <c r="K17" s="294"/>
      <c r="L17" s="294"/>
      <c r="M17" s="294"/>
      <c r="N17" s="294"/>
      <c r="O17" s="294"/>
      <c r="P17" s="294"/>
      <c r="Q17" s="294"/>
      <c r="R17" s="294"/>
      <c r="S17" s="294"/>
      <c r="T17" s="294"/>
      <c r="U17" s="294"/>
    </row>
    <row r="18" spans="1:25" x14ac:dyDescent="0.3">
      <c r="A18" s="2" t="s">
        <v>39</v>
      </c>
      <c r="B18" s="50">
        <v>5</v>
      </c>
      <c r="C18" s="51">
        <v>5</v>
      </c>
      <c r="D18" s="52">
        <f t="shared" ref="D18:D24" si="3">B18/C18</f>
        <v>1</v>
      </c>
      <c r="F18" s="88"/>
      <c r="G18" s="294"/>
      <c r="H18" s="294"/>
      <c r="I18" s="294"/>
      <c r="K18" s="294"/>
      <c r="L18" s="294"/>
      <c r="M18" s="294"/>
      <c r="N18" s="294"/>
      <c r="O18" s="294"/>
      <c r="P18" s="294"/>
      <c r="Q18" s="294"/>
      <c r="R18" s="294"/>
      <c r="S18" s="294"/>
      <c r="T18" s="294"/>
      <c r="U18" s="294"/>
    </row>
    <row r="19" spans="1:25" x14ac:dyDescent="0.3">
      <c r="A19" s="2" t="s">
        <v>3</v>
      </c>
      <c r="B19" s="48">
        <v>7</v>
      </c>
      <c r="C19" s="49">
        <v>9</v>
      </c>
      <c r="D19" s="148">
        <f t="shared" si="3"/>
        <v>0.77777777777777779</v>
      </c>
      <c r="F19" s="88"/>
      <c r="G19" s="294"/>
      <c r="H19" s="294"/>
      <c r="I19" s="294"/>
      <c r="J19" s="294"/>
      <c r="K19" s="294"/>
      <c r="L19" s="294"/>
      <c r="M19" s="294"/>
      <c r="N19" s="294"/>
      <c r="O19" s="294"/>
      <c r="P19" s="294"/>
      <c r="Q19" s="294"/>
      <c r="R19" s="294"/>
      <c r="S19" s="294"/>
      <c r="T19" s="294"/>
      <c r="U19" s="294"/>
    </row>
    <row r="20" spans="1:25" ht="15" thickBot="1" x14ac:dyDescent="0.35">
      <c r="A20" s="2" t="s">
        <v>40</v>
      </c>
      <c r="B20" s="50">
        <v>3</v>
      </c>
      <c r="C20" s="51">
        <v>4</v>
      </c>
      <c r="D20" s="52">
        <f t="shared" si="3"/>
        <v>0.75</v>
      </c>
      <c r="E20" s="273"/>
      <c r="F20" s="88"/>
      <c r="G20" s="294"/>
      <c r="H20" s="294"/>
      <c r="I20" s="294"/>
      <c r="J20" s="294"/>
      <c r="K20" s="294"/>
      <c r="L20" s="294"/>
      <c r="M20" s="294"/>
      <c r="N20" s="294"/>
      <c r="O20" s="294"/>
      <c r="P20" s="294"/>
      <c r="Q20" s="294"/>
      <c r="R20" s="294"/>
      <c r="S20" s="294"/>
      <c r="T20" s="294"/>
      <c r="U20" s="294"/>
      <c r="V20" s="294"/>
      <c r="W20" s="294"/>
      <c r="X20" s="294"/>
      <c r="Y20" s="294"/>
    </row>
    <row r="21" spans="1:25" x14ac:dyDescent="0.3">
      <c r="A21" s="2" t="s">
        <v>33</v>
      </c>
      <c r="B21" s="48"/>
      <c r="C21" s="49">
        <v>26</v>
      </c>
      <c r="D21" s="74">
        <f t="shared" si="3"/>
        <v>0</v>
      </c>
      <c r="E21" s="801">
        <f>SUM(B21:B22)/52</f>
        <v>0</v>
      </c>
      <c r="F21" s="88"/>
      <c r="G21" s="803"/>
      <c r="H21" s="294"/>
      <c r="I21" s="294"/>
      <c r="J21" s="294"/>
      <c r="K21" s="294"/>
      <c r="L21" s="294"/>
      <c r="M21" s="294"/>
      <c r="N21" s="294"/>
      <c r="O21" s="294"/>
      <c r="P21" s="294"/>
      <c r="Q21" s="294"/>
      <c r="R21" s="294"/>
      <c r="S21" s="294"/>
      <c r="T21" s="294"/>
      <c r="U21" s="294"/>
      <c r="V21" s="294"/>
      <c r="W21" s="294"/>
      <c r="X21" s="294"/>
      <c r="Y21" s="294"/>
    </row>
    <row r="22" spans="1:25" ht="15" thickBot="1" x14ac:dyDescent="0.35">
      <c r="A22" s="2" t="s">
        <v>34</v>
      </c>
      <c r="B22" s="299"/>
      <c r="C22" s="51">
        <v>26</v>
      </c>
      <c r="D22" s="251">
        <f t="shared" si="3"/>
        <v>0</v>
      </c>
      <c r="E22" s="802"/>
      <c r="F22" s="88"/>
      <c r="G22" s="803"/>
      <c r="H22" s="294"/>
      <c r="I22" s="294"/>
      <c r="J22" s="294"/>
      <c r="K22" s="294"/>
      <c r="L22" s="294"/>
      <c r="M22" s="294"/>
      <c r="N22" s="294"/>
      <c r="O22" s="294"/>
      <c r="P22" s="294"/>
      <c r="Q22" s="294"/>
      <c r="R22" s="294"/>
      <c r="S22" s="294"/>
      <c r="T22" s="294"/>
      <c r="U22" s="294"/>
      <c r="V22" s="294"/>
      <c r="W22" s="294"/>
      <c r="X22" s="294"/>
      <c r="Y22" s="294"/>
    </row>
    <row r="23" spans="1:25" x14ac:dyDescent="0.3">
      <c r="A23" s="2" t="s">
        <v>35</v>
      </c>
      <c r="B23" s="300"/>
      <c r="C23" s="49">
        <v>24</v>
      </c>
      <c r="D23" s="148">
        <f>B23/C23</f>
        <v>0</v>
      </c>
      <c r="E23" s="252" t="s">
        <v>14</v>
      </c>
      <c r="F23" s="280" t="s">
        <v>50</v>
      </c>
      <c r="G23" s="294"/>
      <c r="H23" s="294"/>
      <c r="I23" s="294"/>
      <c r="J23" s="294"/>
      <c r="K23" s="294"/>
      <c r="L23" s="294"/>
      <c r="M23" s="294"/>
      <c r="N23" s="294"/>
      <c r="O23" s="294"/>
      <c r="P23" s="294"/>
      <c r="Q23" s="294"/>
      <c r="R23" s="294"/>
      <c r="S23" s="294"/>
      <c r="T23" s="294"/>
      <c r="U23" s="294"/>
      <c r="V23" s="294"/>
      <c r="W23" s="294"/>
      <c r="X23" s="294"/>
      <c r="Y23" s="294"/>
    </row>
    <row r="24" spans="1:25" ht="15" thickBot="1" x14ac:dyDescent="0.35">
      <c r="A24" s="3" t="s">
        <v>8</v>
      </c>
      <c r="B24" s="53">
        <f>SUM(B17:B23)</f>
        <v>21</v>
      </c>
      <c r="C24" s="54">
        <v>100</v>
      </c>
      <c r="D24" s="149">
        <f t="shared" si="3"/>
        <v>0.21</v>
      </c>
      <c r="E24" s="86">
        <f>P9</f>
        <v>1</v>
      </c>
      <c r="F24" s="276">
        <f>IF($E$24 &gt;1, 7, 0)</f>
        <v>0</v>
      </c>
      <c r="G24" s="294"/>
      <c r="H24" s="294"/>
      <c r="I24" s="294"/>
      <c r="J24" s="294"/>
      <c r="K24" s="294"/>
      <c r="L24" s="294"/>
      <c r="M24" s="294"/>
      <c r="N24" s="294"/>
      <c r="O24" s="294"/>
      <c r="P24" s="294"/>
      <c r="Q24" s="294"/>
      <c r="R24" s="294"/>
      <c r="S24" s="294"/>
      <c r="T24" s="294"/>
      <c r="U24" s="294"/>
      <c r="V24" s="294"/>
      <c r="W24" s="294"/>
      <c r="X24" s="294"/>
      <c r="Y24" s="294"/>
    </row>
    <row r="25" spans="1:25" ht="15" thickBot="1" x14ac:dyDescent="0.35">
      <c r="F25" s="88"/>
      <c r="G25" s="294"/>
      <c r="H25" s="294"/>
      <c r="I25" s="294"/>
      <c r="J25" s="294"/>
      <c r="K25" s="294"/>
      <c r="L25" s="294"/>
      <c r="M25" s="294"/>
      <c r="N25" s="294"/>
      <c r="O25" s="294"/>
      <c r="P25" s="294"/>
      <c r="Q25" s="294"/>
      <c r="R25" s="294"/>
      <c r="S25" s="294"/>
      <c r="T25" s="294"/>
      <c r="U25" s="294"/>
      <c r="V25" s="294"/>
      <c r="W25" s="294"/>
      <c r="X25" s="294"/>
      <c r="Y25" s="294"/>
    </row>
    <row r="26" spans="1:25" ht="15" thickBot="1" x14ac:dyDescent="0.35">
      <c r="A26" s="189" t="s">
        <v>43</v>
      </c>
      <c r="B26" s="190" t="s">
        <v>6</v>
      </c>
      <c r="C26" s="191" t="s">
        <v>7</v>
      </c>
      <c r="D26" s="192" t="s">
        <v>13</v>
      </c>
      <c r="F26" s="88"/>
      <c r="G26" s="294"/>
      <c r="H26" s="294"/>
      <c r="I26" s="294"/>
      <c r="J26" s="294"/>
      <c r="K26" s="294"/>
      <c r="L26" s="294"/>
      <c r="M26" s="294"/>
      <c r="N26" s="294"/>
      <c r="O26" s="294"/>
      <c r="P26" s="294"/>
      <c r="Q26" s="294"/>
      <c r="R26" s="294"/>
      <c r="S26" s="294"/>
      <c r="T26" s="294"/>
      <c r="U26" s="294"/>
      <c r="V26" s="294"/>
      <c r="W26" s="294"/>
      <c r="X26" s="294"/>
      <c r="Y26" s="294"/>
    </row>
    <row r="27" spans="1:25" x14ac:dyDescent="0.3">
      <c r="A27" s="186" t="s">
        <v>40</v>
      </c>
      <c r="B27" s="196"/>
      <c r="C27" s="197">
        <v>5</v>
      </c>
      <c r="D27" s="198">
        <f>B27/C27</f>
        <v>0</v>
      </c>
      <c r="E27" s="195"/>
      <c r="F27" s="88"/>
      <c r="G27" s="294"/>
      <c r="H27" s="294"/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Y27" s="294"/>
    </row>
    <row r="28" spans="1:25" ht="15" thickBot="1" x14ac:dyDescent="0.35">
      <c r="A28" s="187" t="s">
        <v>4</v>
      </c>
      <c r="B28" s="199"/>
      <c r="C28" s="200">
        <v>50</v>
      </c>
      <c r="D28" s="201">
        <f t="shared" ref="D28:D30" si="4">B28/C28</f>
        <v>0</v>
      </c>
      <c r="E28" s="195"/>
      <c r="F28" s="88"/>
      <c r="G28" s="294"/>
      <c r="H28" s="294"/>
      <c r="I28" s="294"/>
      <c r="J28" s="294"/>
      <c r="K28" s="294"/>
      <c r="L28" s="294"/>
      <c r="M28" s="294"/>
      <c r="N28" s="294"/>
      <c r="O28" s="294"/>
      <c r="P28" s="294"/>
      <c r="Q28" s="294"/>
      <c r="R28" s="294"/>
      <c r="S28" s="294"/>
      <c r="T28" s="294"/>
      <c r="U28" s="294"/>
      <c r="V28" s="294"/>
      <c r="W28" s="294"/>
      <c r="X28" s="294"/>
      <c r="Y28" s="294"/>
    </row>
    <row r="29" spans="1:25" x14ac:dyDescent="0.3">
      <c r="A29" s="187" t="s">
        <v>5</v>
      </c>
      <c r="B29" s="298"/>
      <c r="C29" s="202">
        <v>50</v>
      </c>
      <c r="D29" s="203">
        <f t="shared" si="4"/>
        <v>0</v>
      </c>
      <c r="E29" s="193" t="s">
        <v>14</v>
      </c>
      <c r="F29" s="280" t="s">
        <v>50</v>
      </c>
      <c r="G29" s="294"/>
      <c r="H29" s="294"/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Y29" s="294"/>
    </row>
    <row r="30" spans="1:25" ht="15" thickBot="1" x14ac:dyDescent="0.35">
      <c r="A30" s="188" t="s">
        <v>8</v>
      </c>
      <c r="B30" s="204">
        <f>SUM(B27:B29)</f>
        <v>0</v>
      </c>
      <c r="C30" s="205">
        <v>100</v>
      </c>
      <c r="D30" s="207">
        <f t="shared" si="4"/>
        <v>0</v>
      </c>
      <c r="E30" s="206">
        <f>Q9</f>
        <v>1</v>
      </c>
      <c r="F30" s="276">
        <f>IF($E$30 &gt;1, 7, 0)</f>
        <v>0</v>
      </c>
      <c r="G30" s="294"/>
      <c r="H30" s="294"/>
      <c r="I30" s="294"/>
      <c r="J30" s="294"/>
      <c r="K30" s="294"/>
      <c r="L30" s="294"/>
      <c r="M30" s="294"/>
      <c r="N30" s="294"/>
      <c r="O30" s="294"/>
      <c r="P30" s="294"/>
      <c r="Q30" s="294"/>
      <c r="R30" s="294"/>
      <c r="S30" s="294"/>
      <c r="T30" s="294"/>
      <c r="U30" s="294"/>
      <c r="V30" s="294"/>
      <c r="W30" s="294"/>
      <c r="X30" s="294"/>
      <c r="Y30" s="294"/>
    </row>
    <row r="31" spans="1:25" x14ac:dyDescent="0.3">
      <c r="F31" s="88"/>
      <c r="G31" s="294"/>
      <c r="H31" s="294"/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Y31" s="294"/>
    </row>
    <row r="32" spans="1:25" ht="15" thickBot="1" x14ac:dyDescent="0.35">
      <c r="F32" s="88"/>
      <c r="I32" s="294"/>
      <c r="J32" s="294"/>
      <c r="K32" s="294"/>
      <c r="L32" s="294"/>
      <c r="M32" s="294"/>
      <c r="N32" s="294"/>
      <c r="O32" s="294"/>
      <c r="P32" s="294"/>
      <c r="Q32" s="294"/>
      <c r="R32" s="294"/>
      <c r="S32" s="294"/>
      <c r="T32" s="294"/>
      <c r="U32" s="294"/>
      <c r="V32" s="294"/>
      <c r="W32" s="294"/>
      <c r="X32" s="294"/>
      <c r="Y32" s="294"/>
    </row>
    <row r="33" spans="1:25" ht="15" thickBot="1" x14ac:dyDescent="0.35">
      <c r="A33" s="222" t="s">
        <v>41</v>
      </c>
      <c r="B33" s="223" t="s">
        <v>6</v>
      </c>
      <c r="C33" s="224" t="s">
        <v>7</v>
      </c>
      <c r="D33" s="225" t="s">
        <v>13</v>
      </c>
      <c r="F33" s="88"/>
      <c r="I33" s="294"/>
      <c r="J33" s="294"/>
      <c r="K33" s="294"/>
      <c r="L33" s="294"/>
      <c r="M33" s="294"/>
      <c r="N33" s="294"/>
      <c r="O33" s="294"/>
      <c r="P33" s="294"/>
      <c r="Q33" s="294"/>
      <c r="R33" s="294"/>
      <c r="S33" s="294"/>
      <c r="T33" s="294"/>
      <c r="U33" s="294"/>
      <c r="V33" s="294"/>
      <c r="W33" s="294"/>
      <c r="X33" s="294"/>
      <c r="Y33" s="294"/>
    </row>
    <row r="34" spans="1:25" x14ac:dyDescent="0.3">
      <c r="A34" s="226" t="s">
        <v>5</v>
      </c>
      <c r="B34" s="228">
        <v>28</v>
      </c>
      <c r="C34" s="229">
        <v>40</v>
      </c>
      <c r="D34" s="230">
        <f>B34/C34</f>
        <v>0.7</v>
      </c>
      <c r="E34" s="231" t="s">
        <v>14</v>
      </c>
      <c r="F34" s="280" t="s">
        <v>50</v>
      </c>
      <c r="I34" s="294"/>
      <c r="J34" s="294"/>
      <c r="K34" s="294"/>
      <c r="L34" s="294"/>
      <c r="M34" s="294"/>
      <c r="N34" s="294"/>
      <c r="O34" s="294"/>
      <c r="P34" s="294"/>
      <c r="Q34" s="294"/>
      <c r="R34" s="294"/>
      <c r="S34" s="294"/>
      <c r="T34" s="294"/>
      <c r="U34" s="294"/>
      <c r="V34" s="294"/>
      <c r="W34" s="294"/>
      <c r="X34" s="294"/>
      <c r="Y34" s="294"/>
    </row>
    <row r="35" spans="1:25" ht="15" thickBot="1" x14ac:dyDescent="0.35">
      <c r="A35" s="227" t="s">
        <v>8</v>
      </c>
      <c r="B35" s="232">
        <f>B34</f>
        <v>28</v>
      </c>
      <c r="C35" s="233">
        <v>50</v>
      </c>
      <c r="D35" s="234">
        <f>B35/C35</f>
        <v>0.56000000000000005</v>
      </c>
      <c r="E35" s="235">
        <f>R9</f>
        <v>3</v>
      </c>
      <c r="F35" s="276">
        <f>IF($E$35 &gt;1, 2, 0)</f>
        <v>2</v>
      </c>
      <c r="I35" s="294"/>
      <c r="J35" s="294"/>
      <c r="K35" s="294"/>
      <c r="L35" s="294"/>
      <c r="M35" s="294"/>
      <c r="N35" s="294"/>
      <c r="O35" s="294"/>
      <c r="P35" s="294"/>
      <c r="Q35" s="294"/>
      <c r="R35" s="294"/>
      <c r="S35" s="294"/>
      <c r="T35" s="294"/>
      <c r="U35" s="294"/>
      <c r="V35" s="294"/>
      <c r="W35" s="294"/>
      <c r="X35" s="294"/>
      <c r="Y35" s="294"/>
    </row>
    <row r="36" spans="1:25" x14ac:dyDescent="0.3">
      <c r="I36" s="294"/>
      <c r="J36" s="294"/>
      <c r="K36" s="294"/>
      <c r="L36" s="294"/>
      <c r="M36" s="294"/>
      <c r="N36" s="294"/>
      <c r="O36" s="294"/>
      <c r="P36" s="294"/>
      <c r="Q36" s="294"/>
      <c r="R36" s="294"/>
      <c r="S36" s="294"/>
      <c r="T36" s="294"/>
      <c r="U36" s="294"/>
      <c r="V36" s="294"/>
      <c r="W36" s="294"/>
      <c r="X36" s="294"/>
      <c r="Y36" s="294"/>
    </row>
    <row r="37" spans="1:25" x14ac:dyDescent="0.3">
      <c r="I37" s="294"/>
      <c r="J37" s="294"/>
      <c r="K37" s="294"/>
      <c r="L37" s="294"/>
      <c r="M37" s="294"/>
      <c r="N37" s="294"/>
      <c r="O37" s="294"/>
      <c r="P37" s="294"/>
      <c r="Q37" s="294"/>
      <c r="R37" s="294"/>
      <c r="S37" s="294"/>
      <c r="T37" s="294"/>
      <c r="U37" s="294"/>
      <c r="V37" s="294"/>
      <c r="W37" s="294"/>
      <c r="X37" s="294"/>
      <c r="Y37" s="294"/>
    </row>
    <row r="38" spans="1:25" x14ac:dyDescent="0.3">
      <c r="I38" s="294"/>
      <c r="J38" s="294"/>
      <c r="K38" s="294"/>
      <c r="L38" s="294"/>
      <c r="M38" s="294"/>
      <c r="N38" s="294"/>
      <c r="O38" s="294"/>
      <c r="P38" s="294"/>
      <c r="Q38" s="294"/>
      <c r="R38" s="294"/>
      <c r="S38" s="294"/>
      <c r="T38" s="294"/>
      <c r="U38" s="294"/>
      <c r="V38" s="294"/>
      <c r="W38" s="294"/>
      <c r="X38" s="294"/>
      <c r="Y38" s="294"/>
    </row>
    <row r="39" spans="1:25" x14ac:dyDescent="0.3">
      <c r="I39" s="294"/>
      <c r="J39" s="294"/>
      <c r="K39" s="294"/>
      <c r="L39" s="294"/>
      <c r="M39" s="294"/>
      <c r="N39" s="294"/>
      <c r="O39" s="294"/>
      <c r="P39" s="294"/>
      <c r="Q39" s="294"/>
      <c r="R39" s="294"/>
      <c r="S39" s="294"/>
      <c r="T39" s="294"/>
      <c r="U39" s="294"/>
    </row>
  </sheetData>
  <mergeCells count="2">
    <mergeCell ref="E21:E22"/>
    <mergeCell ref="G21:G22"/>
  </mergeCells>
  <conditionalFormatting sqref="D2">
    <cfRule type="iconSet" priority="3">
      <iconSet iconSet="3Symbols2">
        <cfvo type="percent" val="0"/>
        <cfvo type="num" val="0.5"/>
        <cfvo type="num" val="0.5"/>
      </iconSet>
    </cfRule>
  </conditionalFormatting>
  <conditionalFormatting sqref="D2:D35">
    <cfRule type="dataBar" priority="15">
      <dataBar>
        <cfvo type="num" val="0"/>
        <cfvo type="num" val="1"/>
        <color rgb="FF00B0F0"/>
      </dataBar>
      <extLst>
        <ext xmlns:x14="http://schemas.microsoft.com/office/spreadsheetml/2009/9/main" uri="{B025F937-C7B1-47D3-B67F-A62EFF666E3E}">
          <x14:id>{EEF1AEBF-34A8-439D-BF23-CA91530FCC6D}</x14:id>
        </ext>
      </extLst>
    </cfRule>
  </conditionalFormatting>
  <conditionalFormatting sqref="D6">
    <cfRule type="iconSet" priority="6">
      <iconSet iconSet="3Symbols2">
        <cfvo type="percent" val="0"/>
        <cfvo type="num" val="0.33"/>
        <cfvo type="num" val="0.33"/>
      </iconSet>
    </cfRule>
  </conditionalFormatting>
  <conditionalFormatting sqref="D7">
    <cfRule type="iconSet" priority="5">
      <iconSet iconSet="3Symbols2">
        <cfvo type="percent" val="0"/>
        <cfvo type="num" val="0.5"/>
        <cfvo type="num" val="0.5"/>
      </iconSet>
    </cfRule>
  </conditionalFormatting>
  <conditionalFormatting sqref="D12:D13">
    <cfRule type="iconSet" priority="17">
      <iconSet iconSet="3Symbols2">
        <cfvo type="percent" val="0"/>
        <cfvo type="num" val="0.25"/>
        <cfvo type="num" val="0.25"/>
      </iconSet>
    </cfRule>
  </conditionalFormatting>
  <conditionalFormatting sqref="D14">
    <cfRule type="iconSet" priority="1">
      <iconSet iconSet="3Symbols2">
        <cfvo type="percent" val="0"/>
        <cfvo type="num" val="0.5"/>
        <cfvo type="num" val="0.5"/>
      </iconSet>
    </cfRule>
  </conditionalFormatting>
  <conditionalFormatting sqref="D23">
    <cfRule type="iconSet" priority="11">
      <iconSet iconSet="3Symbols2">
        <cfvo type="percent" val="0"/>
        <cfvo type="num" val="0.33"/>
        <cfvo type="num" val="0.33"/>
      </iconSet>
    </cfRule>
  </conditionalFormatting>
  <conditionalFormatting sqref="D24">
    <cfRule type="iconSet" priority="14">
      <iconSet iconSet="3Symbols2">
        <cfvo type="percent" val="0"/>
        <cfvo type="num" val="0.5"/>
        <cfvo type="num" val="0.5"/>
      </iconSet>
    </cfRule>
  </conditionalFormatting>
  <conditionalFormatting sqref="D30">
    <cfRule type="iconSet" priority="10">
      <iconSet iconSet="3Symbols2">
        <cfvo type="percent" val="0"/>
        <cfvo type="num" val="0.5"/>
        <cfvo type="num" val="0.5"/>
      </iconSet>
    </cfRule>
  </conditionalFormatting>
  <conditionalFormatting sqref="D35">
    <cfRule type="iconSet" priority="13">
      <iconSet iconSet="3Symbols2">
        <cfvo type="percent" val="0"/>
        <cfvo type="num" val="0.5"/>
        <cfvo type="num" val="0.5"/>
      </iconSet>
    </cfRule>
  </conditionalFormatting>
  <conditionalFormatting sqref="E21:E22">
    <cfRule type="iconSet" priority="2">
      <iconSet iconSet="3Symbols2">
        <cfvo type="percent" val="0"/>
        <cfvo type="num" val="0.34599999999999997"/>
        <cfvo type="num" val="0.34599999999999997"/>
      </iconSet>
    </cfRule>
  </conditionalFormatting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EF1AEBF-34A8-439D-BF23-CA91530FCC6D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B0F0"/>
              <x14:negativeFillColor rgb="FFFF0000"/>
              <x14:negativeBorderColor rgb="FFFF0000"/>
              <x14:axisColor rgb="FF000000"/>
            </x14:dataBar>
          </x14:cfRule>
          <xm:sqref>D2:D35</xm:sqref>
        </x14:conditionalFormatting>
        <x14:conditionalFormatting xmlns:xm="http://schemas.microsoft.com/office/excel/2006/main">
          <x14:cfRule type="iconSet" priority="16" id="{0AD91399-3209-483E-B706-8D9A04F2B296}">
            <x14:iconSet iconSet="3Stars">
              <x14:cfvo type="percent">
                <xm:f>0</xm:f>
              </x14:cfvo>
              <x14:cfvo type="num">
                <xm:f>2</xm:f>
              </x14:cfvo>
              <x14:cfvo type="num">
                <xm:f>2</xm:f>
              </x14:cfvo>
            </x14:iconSet>
          </x14:cfRule>
          <xm:sqref>E35 E7 E14 E24 E30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F6038-55AB-4B0D-A728-14CD33811049}">
  <sheetPr>
    <tabColor theme="0" tint="-4.9989318521683403E-2"/>
  </sheetPr>
  <dimension ref="A1:W35"/>
  <sheetViews>
    <sheetView topLeftCell="A7" zoomScale="120" zoomScaleNormal="120" workbookViewId="0">
      <selection activeCell="B22" sqref="B22"/>
    </sheetView>
  </sheetViews>
  <sheetFormatPr defaultColWidth="8.88671875" defaultRowHeight="14.4" x14ac:dyDescent="0.3"/>
  <cols>
    <col min="1" max="1" width="10.109375" style="43" customWidth="1"/>
    <col min="2" max="2" width="10.6640625" style="43" customWidth="1"/>
    <col min="3" max="3" width="9.109375" style="43" customWidth="1"/>
    <col min="4" max="4" width="13.88671875" style="43" customWidth="1"/>
    <col min="5" max="16384" width="8.88671875" style="43"/>
  </cols>
  <sheetData>
    <row r="1" spans="1:23" ht="15" thickBot="1" x14ac:dyDescent="0.35">
      <c r="A1" s="172" t="s">
        <v>32</v>
      </c>
      <c r="B1" s="173" t="s">
        <v>6</v>
      </c>
      <c r="C1" s="174" t="s">
        <v>7</v>
      </c>
      <c r="D1" s="175" t="s">
        <v>13</v>
      </c>
      <c r="F1" s="279" t="s">
        <v>55</v>
      </c>
      <c r="H1" s="195"/>
      <c r="I1" s="195"/>
      <c r="J1" s="254"/>
      <c r="K1" s="254"/>
      <c r="L1" s="254"/>
      <c r="M1" s="254"/>
      <c r="N1" s="254"/>
      <c r="O1" s="254"/>
      <c r="P1" s="254"/>
      <c r="Q1" s="254"/>
      <c r="R1" s="195"/>
      <c r="S1" s="195"/>
      <c r="T1" s="195"/>
      <c r="U1" s="195"/>
      <c r="V1" s="195"/>
      <c r="W1" s="195"/>
    </row>
    <row r="2" spans="1:23" ht="15" thickBot="1" x14ac:dyDescent="0.35">
      <c r="A2" s="161" t="s">
        <v>1</v>
      </c>
      <c r="B2" s="152">
        <f>'SEM2'!B2</f>
        <v>8</v>
      </c>
      <c r="C2" s="153">
        <v>10</v>
      </c>
      <c r="D2" s="154">
        <f>B2/C2</f>
        <v>0.8</v>
      </c>
      <c r="F2" s="277">
        <f>SUM(F6:F23)</f>
        <v>19</v>
      </c>
      <c r="H2" s="195"/>
      <c r="I2" s="195"/>
      <c r="J2" s="254"/>
      <c r="K2" s="254"/>
      <c r="L2" s="138" t="s">
        <v>15</v>
      </c>
      <c r="M2" s="138" t="s">
        <v>44</v>
      </c>
      <c r="N2" s="138" t="s">
        <v>36</v>
      </c>
      <c r="O2" s="138" t="s">
        <v>37</v>
      </c>
      <c r="P2" s="138" t="s">
        <v>45</v>
      </c>
      <c r="Q2" s="138" t="s">
        <v>41</v>
      </c>
      <c r="R2" s="195"/>
      <c r="S2" s="195"/>
      <c r="T2" s="195"/>
      <c r="U2" s="195"/>
      <c r="V2" s="195"/>
      <c r="W2" s="195"/>
    </row>
    <row r="3" spans="1:23" x14ac:dyDescent="0.3">
      <c r="A3" s="161" t="s">
        <v>39</v>
      </c>
      <c r="B3" s="164">
        <f>'SEM2'!B3</f>
        <v>0</v>
      </c>
      <c r="C3" s="165">
        <v>10</v>
      </c>
      <c r="D3" s="257">
        <f>B3/C3</f>
        <v>0</v>
      </c>
      <c r="F3" s="195"/>
      <c r="H3" s="195"/>
      <c r="I3" s="195"/>
      <c r="J3" s="294"/>
      <c r="K3" s="294"/>
      <c r="L3" s="138">
        <v>1</v>
      </c>
      <c r="M3" s="138">
        <v>1</v>
      </c>
      <c r="N3" s="138">
        <v>1</v>
      </c>
      <c r="O3" s="138">
        <v>1</v>
      </c>
      <c r="P3" s="138">
        <v>1</v>
      </c>
      <c r="Q3" s="138">
        <v>1</v>
      </c>
      <c r="R3" s="294"/>
      <c r="S3" s="195"/>
      <c r="T3" s="195"/>
      <c r="U3" s="195"/>
      <c r="V3" s="195"/>
      <c r="W3" s="195"/>
    </row>
    <row r="4" spans="1:23" ht="15" thickBot="1" x14ac:dyDescent="0.35">
      <c r="A4" s="161" t="s">
        <v>48</v>
      </c>
      <c r="B4" s="155">
        <v>39</v>
      </c>
      <c r="C4" s="156">
        <v>56</v>
      </c>
      <c r="D4" s="256">
        <f>B4/C4</f>
        <v>0.6964285714285714</v>
      </c>
      <c r="F4" s="195"/>
      <c r="H4" s="195"/>
      <c r="I4" s="195"/>
      <c r="J4" s="294"/>
      <c r="K4" s="294"/>
      <c r="L4" s="138">
        <v>2</v>
      </c>
      <c r="M4" s="138">
        <f>IF($B$6 &gt;= 50, 1, 0)</f>
        <v>1</v>
      </c>
      <c r="N4" s="138">
        <f>IF($B$9 &gt;= 50, 1, 0)</f>
        <v>0</v>
      </c>
      <c r="O4" s="138">
        <f>IF($B$18 &gt;= 50, 1, 0)</f>
        <v>1</v>
      </c>
      <c r="P4" s="138">
        <f>IF($B$21 &gt;= 50, 1,)</f>
        <v>1</v>
      </c>
      <c r="Q4" s="138">
        <f>IF($B$24 &gt;= 25.5, 1,)</f>
        <v>0</v>
      </c>
      <c r="R4" s="294"/>
      <c r="S4" s="195"/>
      <c r="T4" s="195"/>
      <c r="U4" s="195"/>
      <c r="V4" s="195"/>
      <c r="W4" s="195"/>
    </row>
    <row r="5" spans="1:23" x14ac:dyDescent="0.3">
      <c r="A5" s="162" t="s">
        <v>49</v>
      </c>
      <c r="B5" s="255">
        <v>24</v>
      </c>
      <c r="C5" s="165">
        <v>24</v>
      </c>
      <c r="D5" s="210">
        <f t="shared" ref="D5" si="0">B5/C5</f>
        <v>1</v>
      </c>
      <c r="E5" s="209" t="s">
        <v>23</v>
      </c>
      <c r="F5" s="280" t="s">
        <v>50</v>
      </c>
      <c r="H5" s="195"/>
      <c r="I5" s="195"/>
      <c r="J5" s="294"/>
      <c r="K5" s="294"/>
      <c r="L5" s="138">
        <v>3</v>
      </c>
      <c r="M5" s="138">
        <f>IF($B$6 &gt;= 60, 1, 0)</f>
        <v>1</v>
      </c>
      <c r="N5" s="138">
        <f>IF($B$9 &gt;= 65, 1, 0)</f>
        <v>0</v>
      </c>
      <c r="O5" s="138">
        <f>IF($B$18 &gt;= 62, 1, )</f>
        <v>1</v>
      </c>
      <c r="P5" s="138">
        <f>IF($B$21 &gt;= 58, 1, )</f>
        <v>0</v>
      </c>
      <c r="Q5" s="138">
        <f>IF($B$24 &gt;= 30.5, 1,)</f>
        <v>0</v>
      </c>
      <c r="R5" s="294"/>
      <c r="S5" s="195"/>
      <c r="T5" s="195"/>
      <c r="U5" s="195"/>
      <c r="V5" s="195"/>
      <c r="W5" s="195"/>
    </row>
    <row r="6" spans="1:23" ht="15" thickBot="1" x14ac:dyDescent="0.35">
      <c r="A6" s="163" t="s">
        <v>21</v>
      </c>
      <c r="B6" s="159">
        <f>SUM(B2:B5)</f>
        <v>71</v>
      </c>
      <c r="C6" s="160">
        <v>100</v>
      </c>
      <c r="D6" s="211">
        <f>B6/C6</f>
        <v>0.71</v>
      </c>
      <c r="E6" s="170">
        <f>M8</f>
        <v>4</v>
      </c>
      <c r="F6" s="276">
        <f>IF($E$6 &gt;1, 6, 0)</f>
        <v>6</v>
      </c>
      <c r="H6" s="195"/>
      <c r="I6" s="195"/>
      <c r="J6" s="294"/>
      <c r="K6" s="294"/>
      <c r="L6" s="138">
        <v>4</v>
      </c>
      <c r="M6" s="138">
        <f>IF($B$6 &gt;= 70, 1, 0)</f>
        <v>1</v>
      </c>
      <c r="N6" s="138">
        <f>IF($B$9 &gt;= 80, 1, 0)</f>
        <v>0</v>
      </c>
      <c r="O6" s="138">
        <f>IF($B$18 &gt;= 74, 1, 0)</f>
        <v>0</v>
      </c>
      <c r="P6" s="138">
        <f>IF($B$21 &gt;= 72, 1, )</f>
        <v>0</v>
      </c>
      <c r="Q6" s="138">
        <f>IF($B$24 &gt;= 38.5, 1,)</f>
        <v>0</v>
      </c>
      <c r="R6" s="294"/>
      <c r="S6" s="195"/>
      <c r="T6" s="195"/>
      <c r="U6" s="195"/>
      <c r="V6" s="195"/>
      <c r="W6" s="195"/>
    </row>
    <row r="7" spans="1:23" ht="15" thickBot="1" x14ac:dyDescent="0.35">
      <c r="A7" s="90"/>
      <c r="B7" s="90"/>
      <c r="C7" s="90"/>
      <c r="D7" s="90"/>
      <c r="H7" s="195"/>
      <c r="I7" s="195"/>
      <c r="J7" s="294"/>
      <c r="K7" s="294"/>
      <c r="L7" s="138">
        <v>5</v>
      </c>
      <c r="M7" s="138">
        <f>IF($B$6 &gt;= 85, 1, 0)</f>
        <v>0</v>
      </c>
      <c r="N7" s="138">
        <f>IF($B$9 &gt;= 90, 1, 0)</f>
        <v>0</v>
      </c>
      <c r="O7" s="138">
        <f>IF($B$18 &gt;= 86, 1, 0)</f>
        <v>0</v>
      </c>
      <c r="P7" s="138">
        <f>IF($B$21 &gt;= 86, 1, 0)</f>
        <v>0</v>
      </c>
      <c r="Q7" s="138">
        <f>IF($B$24 &gt;= 45.5, 1,)</f>
        <v>0</v>
      </c>
      <c r="R7" s="294"/>
      <c r="S7" s="195"/>
      <c r="T7" s="195"/>
      <c r="U7" s="195"/>
      <c r="V7" s="195"/>
      <c r="W7" s="195"/>
    </row>
    <row r="8" spans="1:23" ht="15" thickBot="1" x14ac:dyDescent="0.35">
      <c r="A8" s="39" t="s">
        <v>36</v>
      </c>
      <c r="B8" s="40" t="s">
        <v>6</v>
      </c>
      <c r="C8" s="41" t="s">
        <v>7</v>
      </c>
      <c r="D8" s="42" t="s">
        <v>13</v>
      </c>
      <c r="E8" s="107" t="s">
        <v>23</v>
      </c>
      <c r="F8" s="280" t="s">
        <v>50</v>
      </c>
      <c r="H8" s="195"/>
      <c r="I8" s="195"/>
      <c r="J8" s="294"/>
      <c r="K8" s="294"/>
      <c r="L8" s="138" t="s">
        <v>17</v>
      </c>
      <c r="M8" s="138">
        <f>SUM(M3:M7)</f>
        <v>4</v>
      </c>
      <c r="N8" s="138">
        <f t="shared" ref="N8:P8" si="1">SUM(N3:N7)</f>
        <v>1</v>
      </c>
      <c r="O8" s="138">
        <f t="shared" si="1"/>
        <v>3</v>
      </c>
      <c r="P8" s="138">
        <f t="shared" si="1"/>
        <v>2</v>
      </c>
      <c r="Q8" s="138">
        <f>SUM(Q3:Q7)</f>
        <v>1</v>
      </c>
      <c r="R8" s="294"/>
      <c r="S8" s="195"/>
      <c r="T8" s="195"/>
      <c r="U8" s="195"/>
      <c r="V8" s="195"/>
      <c r="W8" s="195"/>
    </row>
    <row r="9" spans="1:23" ht="15" thickBot="1" x14ac:dyDescent="0.35">
      <c r="A9" s="38" t="s">
        <v>18</v>
      </c>
      <c r="B9" s="258"/>
      <c r="C9" s="259">
        <v>100</v>
      </c>
      <c r="D9" s="261">
        <f>B9/C9</f>
        <v>0</v>
      </c>
      <c r="E9" s="260">
        <f>N8</f>
        <v>1</v>
      </c>
      <c r="F9" s="276">
        <f>IF($E$9 &gt;1, 8, 0)</f>
        <v>0</v>
      </c>
      <c r="H9" s="195"/>
      <c r="I9" s="195"/>
      <c r="J9" s="294"/>
      <c r="K9" s="294"/>
      <c r="L9" s="254"/>
      <c r="M9" s="254"/>
      <c r="N9" s="254"/>
      <c r="O9" s="254"/>
      <c r="P9" s="254"/>
      <c r="Q9" s="254"/>
      <c r="R9" s="294"/>
      <c r="S9" s="195"/>
      <c r="T9" s="195"/>
      <c r="U9" s="195"/>
      <c r="V9" s="195"/>
      <c r="W9" s="195"/>
    </row>
    <row r="10" spans="1:23" ht="15" thickBot="1" x14ac:dyDescent="0.35">
      <c r="A10" s="90"/>
      <c r="B10" s="90"/>
      <c r="C10" s="90"/>
      <c r="D10" s="90"/>
      <c r="F10" s="88"/>
      <c r="H10" s="195"/>
      <c r="I10" s="195"/>
      <c r="J10" s="294"/>
      <c r="K10" s="294"/>
      <c r="L10" s="294"/>
      <c r="M10" s="294"/>
      <c r="N10" s="294"/>
      <c r="O10" s="294"/>
      <c r="P10" s="294"/>
      <c r="Q10" s="294"/>
      <c r="R10" s="294"/>
      <c r="S10" s="195"/>
      <c r="T10" s="195"/>
      <c r="U10" s="195"/>
      <c r="V10" s="195"/>
      <c r="W10" s="195"/>
    </row>
    <row r="11" spans="1:23" ht="15" thickBot="1" x14ac:dyDescent="0.35">
      <c r="A11" s="4" t="s">
        <v>37</v>
      </c>
      <c r="B11" s="5" t="s">
        <v>6</v>
      </c>
      <c r="C11" s="6" t="s">
        <v>20</v>
      </c>
      <c r="D11" s="7" t="s">
        <v>13</v>
      </c>
      <c r="F11" s="88"/>
      <c r="H11" s="195"/>
      <c r="I11" s="195"/>
      <c r="J11" s="294"/>
      <c r="K11" s="294"/>
      <c r="L11" s="294"/>
      <c r="M11" s="294"/>
      <c r="N11" s="294"/>
      <c r="O11" s="294"/>
      <c r="P11" s="294"/>
      <c r="Q11" s="294"/>
      <c r="R11" s="294"/>
      <c r="S11" s="195"/>
      <c r="T11" s="195"/>
      <c r="U11" s="195"/>
      <c r="V11" s="195"/>
      <c r="W11" s="195"/>
    </row>
    <row r="12" spans="1:23" ht="15" thickBot="1" x14ac:dyDescent="0.35">
      <c r="A12" s="265" t="s">
        <v>1</v>
      </c>
      <c r="B12" s="246">
        <f>'SEM2'!B17</f>
        <v>6</v>
      </c>
      <c r="C12" s="244">
        <v>6</v>
      </c>
      <c r="D12" s="266">
        <f>B12/C12</f>
        <v>1</v>
      </c>
      <c r="F12" s="88"/>
      <c r="H12" s="195"/>
      <c r="I12" s="195"/>
      <c r="J12" s="294"/>
      <c r="K12" s="294"/>
      <c r="L12" s="301"/>
      <c r="M12" s="301"/>
      <c r="N12" s="301"/>
      <c r="O12" s="301"/>
      <c r="P12" s="301"/>
      <c r="Q12" s="303"/>
      <c r="R12" s="294"/>
      <c r="S12" s="195"/>
      <c r="T12" s="195"/>
      <c r="U12" s="195"/>
      <c r="V12" s="195"/>
      <c r="W12" s="195"/>
    </row>
    <row r="13" spans="1:23" ht="15" thickBot="1" x14ac:dyDescent="0.35">
      <c r="A13" s="265" t="s">
        <v>39</v>
      </c>
      <c r="B13" s="272">
        <f>'SEM2'!B18</f>
        <v>5</v>
      </c>
      <c r="C13" s="269">
        <v>5</v>
      </c>
      <c r="D13" s="270">
        <f>B13/C13</f>
        <v>1</v>
      </c>
      <c r="H13" s="195"/>
      <c r="I13" s="195"/>
      <c r="J13" s="294"/>
      <c r="K13" s="294"/>
      <c r="L13" s="301"/>
      <c r="M13" s="301"/>
      <c r="N13" s="301"/>
      <c r="O13" s="301"/>
      <c r="P13" s="301"/>
      <c r="Q13" s="303"/>
      <c r="R13" s="294"/>
      <c r="S13" s="195"/>
      <c r="T13" s="195"/>
      <c r="U13" s="195"/>
      <c r="V13" s="195"/>
      <c r="W13" s="195"/>
    </row>
    <row r="14" spans="1:23" ht="15" thickBot="1" x14ac:dyDescent="0.35">
      <c r="A14" s="265" t="s">
        <v>3</v>
      </c>
      <c r="B14" s="262">
        <f>'SEM2'!B19</f>
        <v>7</v>
      </c>
      <c r="C14" s="268">
        <v>9</v>
      </c>
      <c r="D14" s="267">
        <f>B14/C14</f>
        <v>0.77777777777777779</v>
      </c>
      <c r="H14" s="195"/>
      <c r="I14" s="195"/>
      <c r="J14" s="294"/>
      <c r="K14" s="294"/>
      <c r="L14" s="301"/>
      <c r="M14" s="301"/>
      <c r="N14" s="301"/>
      <c r="O14" s="301"/>
      <c r="P14" s="301"/>
      <c r="Q14" s="303"/>
      <c r="R14" s="294"/>
      <c r="S14" s="195"/>
      <c r="T14" s="195"/>
      <c r="U14" s="195"/>
      <c r="V14" s="195"/>
      <c r="W14" s="195"/>
    </row>
    <row r="15" spans="1:23" ht="15" thickBot="1" x14ac:dyDescent="0.35">
      <c r="A15" s="265" t="s">
        <v>40</v>
      </c>
      <c r="B15" s="272">
        <f>'SEM2'!B20</f>
        <v>3</v>
      </c>
      <c r="C15" s="269">
        <v>4</v>
      </c>
      <c r="D15" s="271">
        <f>B15/C15</f>
        <v>0.75</v>
      </c>
      <c r="F15" s="88"/>
      <c r="H15" s="195"/>
      <c r="I15" s="195"/>
      <c r="J15" s="294"/>
      <c r="K15" s="294"/>
      <c r="L15" s="301"/>
      <c r="M15" s="301"/>
      <c r="N15" s="301"/>
      <c r="O15" s="301"/>
      <c r="P15" s="301"/>
      <c r="Q15" s="303"/>
      <c r="R15" s="294"/>
      <c r="S15" s="195"/>
      <c r="T15" s="195"/>
      <c r="U15" s="195"/>
      <c r="V15" s="195"/>
      <c r="W15" s="195"/>
    </row>
    <row r="16" spans="1:23" ht="15" thickBot="1" x14ac:dyDescent="0.35">
      <c r="A16" s="240" t="s">
        <v>48</v>
      </c>
      <c r="B16" s="262">
        <v>36</v>
      </c>
      <c r="C16" s="263">
        <v>52</v>
      </c>
      <c r="D16" s="264">
        <f t="shared" ref="D16" si="2">B16/C16</f>
        <v>0.69230769230769229</v>
      </c>
      <c r="F16" s="88"/>
      <c r="H16" s="195"/>
      <c r="I16" s="195"/>
      <c r="J16" s="294"/>
      <c r="K16" s="294"/>
      <c r="L16" s="301"/>
      <c r="M16" s="301"/>
      <c r="N16" s="301"/>
      <c r="O16" s="301"/>
      <c r="P16" s="301"/>
      <c r="Q16" s="303"/>
      <c r="R16" s="294"/>
      <c r="S16" s="195"/>
      <c r="T16" s="195"/>
      <c r="U16" s="195"/>
      <c r="V16" s="195"/>
      <c r="W16" s="195"/>
    </row>
    <row r="17" spans="1:23" ht="15" thickBot="1" x14ac:dyDescent="0.35">
      <c r="A17" s="95" t="s">
        <v>49</v>
      </c>
      <c r="B17" s="544">
        <f>C17*(B16/C16)</f>
        <v>16.615384615384613</v>
      </c>
      <c r="C17" s="51">
        <v>24</v>
      </c>
      <c r="D17" s="243">
        <f t="shared" ref="D17" si="3">B17/C17</f>
        <v>0.69230769230769218</v>
      </c>
      <c r="E17" s="82" t="s">
        <v>23</v>
      </c>
      <c r="F17" s="280" t="s">
        <v>50</v>
      </c>
      <c r="H17" s="195"/>
      <c r="I17" s="195"/>
      <c r="J17" s="195"/>
      <c r="K17" s="195"/>
      <c r="L17" s="275"/>
      <c r="M17" s="275"/>
      <c r="N17" s="275"/>
      <c r="O17" s="275"/>
      <c r="P17" s="275"/>
      <c r="Q17" s="208"/>
      <c r="R17" s="195"/>
      <c r="S17" s="195"/>
      <c r="T17" s="195"/>
      <c r="U17" s="195"/>
      <c r="V17" s="195"/>
      <c r="W17" s="195"/>
    </row>
    <row r="18" spans="1:23" ht="15" thickBot="1" x14ac:dyDescent="0.35">
      <c r="A18" s="241" t="s">
        <v>21</v>
      </c>
      <c r="B18" s="247">
        <f>SUM(B12:B17)</f>
        <v>73.615384615384613</v>
      </c>
      <c r="C18" s="245">
        <v>100</v>
      </c>
      <c r="D18" s="242">
        <f>B18/C18</f>
        <v>0.73615384615384616</v>
      </c>
      <c r="E18" s="109">
        <f>O8</f>
        <v>3</v>
      </c>
      <c r="F18" s="276">
        <f>IF($E$18 &gt;1, 7, 0)</f>
        <v>7</v>
      </c>
      <c r="H18" s="195"/>
      <c r="I18" s="195"/>
      <c r="J18" s="195"/>
      <c r="K18" s="195"/>
      <c r="L18" s="275"/>
      <c r="M18" s="275"/>
      <c r="N18" s="275"/>
      <c r="O18" s="275"/>
      <c r="P18" s="275"/>
      <c r="Q18" s="208"/>
      <c r="R18" s="195"/>
      <c r="S18" s="195"/>
      <c r="T18" s="195"/>
      <c r="U18" s="195"/>
      <c r="V18" s="195"/>
      <c r="W18" s="195"/>
    </row>
    <row r="19" spans="1:23" ht="15" thickBot="1" x14ac:dyDescent="0.35">
      <c r="A19" s="90"/>
      <c r="B19" s="90"/>
      <c r="C19" s="90"/>
      <c r="D19" s="90"/>
      <c r="F19" s="88"/>
      <c r="H19" s="195"/>
      <c r="I19" s="195"/>
      <c r="J19" s="195"/>
      <c r="K19" s="195"/>
      <c r="L19" s="195"/>
      <c r="M19" s="195"/>
      <c r="N19" s="195"/>
      <c r="O19" s="195"/>
      <c r="P19" s="195"/>
      <c r="Q19" s="195"/>
      <c r="R19" s="195"/>
      <c r="S19" s="195"/>
      <c r="T19" s="195"/>
      <c r="U19" s="195"/>
      <c r="V19" s="195"/>
      <c r="W19" s="195"/>
    </row>
    <row r="20" spans="1:23" ht="15" thickBot="1" x14ac:dyDescent="0.35">
      <c r="A20" s="212" t="s">
        <v>46</v>
      </c>
      <c r="B20" s="213" t="s">
        <v>6</v>
      </c>
      <c r="C20" s="214" t="s">
        <v>7</v>
      </c>
      <c r="D20" s="215" t="s">
        <v>13</v>
      </c>
      <c r="E20" s="216" t="s">
        <v>23</v>
      </c>
      <c r="F20" s="280" t="s">
        <v>50</v>
      </c>
      <c r="H20" s="195"/>
      <c r="I20" s="195"/>
      <c r="J20" s="195"/>
      <c r="K20" s="195"/>
      <c r="L20" s="195"/>
      <c r="M20" s="195"/>
      <c r="N20" s="195"/>
      <c r="O20" s="195"/>
      <c r="P20" s="195"/>
      <c r="Q20" s="195"/>
      <c r="R20" s="195"/>
      <c r="S20" s="195"/>
      <c r="T20" s="195"/>
      <c r="U20" s="195"/>
      <c r="V20" s="195"/>
      <c r="W20" s="195"/>
    </row>
    <row r="21" spans="1:23" ht="15" thickBot="1" x14ac:dyDescent="0.35">
      <c r="A21" s="217" t="s">
        <v>18</v>
      </c>
      <c r="B21" s="218">
        <v>51</v>
      </c>
      <c r="C21" s="219">
        <v>100</v>
      </c>
      <c r="D21" s="220">
        <f>B21/C21</f>
        <v>0.51</v>
      </c>
      <c r="E21" s="221">
        <f>P8</f>
        <v>2</v>
      </c>
      <c r="F21" s="276">
        <f>IF($E$21 &gt;1, 6, 0)</f>
        <v>6</v>
      </c>
      <c r="H21" s="195"/>
      <c r="I21" s="195"/>
      <c r="J21" s="195"/>
      <c r="K21" s="195"/>
      <c r="L21" s="195"/>
      <c r="M21" s="195"/>
      <c r="N21" s="195"/>
      <c r="O21" s="195"/>
      <c r="P21" s="195"/>
      <c r="Q21" s="195"/>
      <c r="R21" s="195"/>
      <c r="S21" s="195"/>
      <c r="T21" s="195"/>
      <c r="U21" s="195"/>
      <c r="V21" s="195"/>
      <c r="W21" s="195"/>
    </row>
    <row r="22" spans="1:23" ht="15" thickBot="1" x14ac:dyDescent="0.35">
      <c r="F22" s="88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5"/>
      <c r="W22" s="195"/>
    </row>
    <row r="23" spans="1:23" ht="15" thickBot="1" x14ac:dyDescent="0.35">
      <c r="A23" s="222" t="s">
        <v>47</v>
      </c>
      <c r="B23" s="249" t="s">
        <v>6</v>
      </c>
      <c r="C23" s="250" t="s">
        <v>7</v>
      </c>
      <c r="D23" s="248" t="s">
        <v>13</v>
      </c>
      <c r="E23" s="222" t="s">
        <v>23</v>
      </c>
      <c r="F23" s="280" t="s">
        <v>50</v>
      </c>
      <c r="H23" s="195"/>
      <c r="I23" s="195"/>
      <c r="J23" s="195"/>
      <c r="K23" s="195"/>
      <c r="L23" s="195"/>
      <c r="M23" s="195"/>
      <c r="N23" s="195"/>
      <c r="O23" s="195"/>
      <c r="P23" s="195"/>
      <c r="Q23" s="195"/>
      <c r="R23" s="195"/>
      <c r="S23" s="195"/>
      <c r="T23" s="195"/>
      <c r="U23" s="195"/>
      <c r="V23" s="195"/>
      <c r="W23" s="195"/>
    </row>
    <row r="24" spans="1:23" ht="15" thickBot="1" x14ac:dyDescent="0.35">
      <c r="A24" s="274" t="s">
        <v>18</v>
      </c>
      <c r="B24" s="236"/>
      <c r="C24" s="237">
        <v>100</v>
      </c>
      <c r="D24" s="238">
        <f t="shared" ref="D24" si="4">B24/C24</f>
        <v>0</v>
      </c>
      <c r="E24" s="239">
        <f>Q8</f>
        <v>1</v>
      </c>
      <c r="F24" s="276">
        <f>IF($E$24 &gt;1, 37, 0)</f>
        <v>0</v>
      </c>
      <c r="H24" s="195"/>
      <c r="I24" s="195"/>
      <c r="J24" s="195"/>
      <c r="K24" s="195"/>
      <c r="L24" s="195"/>
      <c r="M24" s="195"/>
      <c r="N24" s="195"/>
      <c r="O24" s="195"/>
      <c r="P24" s="195"/>
      <c r="Q24" s="195"/>
      <c r="R24" s="195"/>
      <c r="S24" s="195"/>
      <c r="T24" s="195"/>
      <c r="U24" s="195"/>
      <c r="V24" s="195"/>
      <c r="W24" s="195"/>
    </row>
    <row r="25" spans="1:23" x14ac:dyDescent="0.3">
      <c r="A25" s="278"/>
      <c r="B25" s="195"/>
      <c r="C25" s="195"/>
      <c r="D25" s="195"/>
      <c r="E25" s="195"/>
      <c r="F25" s="88"/>
      <c r="G25" s="195"/>
      <c r="H25" s="195"/>
      <c r="I25" s="195"/>
      <c r="J25" s="195"/>
      <c r="K25" s="195"/>
      <c r="L25" s="195"/>
      <c r="M25" s="195"/>
      <c r="N25" s="195"/>
      <c r="O25" s="195"/>
      <c r="P25" s="195"/>
      <c r="Q25" s="195"/>
      <c r="R25" s="195"/>
      <c r="S25" s="195"/>
      <c r="T25" s="195"/>
      <c r="U25" s="195"/>
      <c r="V25" s="195"/>
      <c r="W25" s="195"/>
    </row>
    <row r="26" spans="1:23" x14ac:dyDescent="0.3">
      <c r="F26" s="88"/>
      <c r="H26" s="195"/>
      <c r="I26" s="195"/>
      <c r="J26" s="195"/>
      <c r="K26" s="195"/>
      <c r="L26" s="195"/>
      <c r="M26" s="195"/>
      <c r="N26" s="195"/>
      <c r="O26" s="195"/>
      <c r="P26" s="195"/>
      <c r="Q26" s="195"/>
      <c r="R26" s="195"/>
      <c r="S26" s="195"/>
      <c r="T26" s="195"/>
      <c r="U26" s="195"/>
      <c r="V26" s="195"/>
      <c r="W26" s="195"/>
    </row>
    <row r="27" spans="1:23" x14ac:dyDescent="0.3">
      <c r="F27" s="88"/>
      <c r="H27" s="195"/>
      <c r="I27" s="195"/>
      <c r="J27" s="195"/>
      <c r="K27" s="195"/>
      <c r="L27" s="195"/>
      <c r="M27" s="195"/>
      <c r="N27" s="195"/>
      <c r="O27" s="195"/>
      <c r="P27" s="195"/>
      <c r="Q27" s="195"/>
      <c r="R27" s="195"/>
      <c r="S27" s="195"/>
      <c r="T27" s="195"/>
      <c r="U27" s="195"/>
      <c r="V27" s="195"/>
      <c r="W27" s="195"/>
    </row>
    <row r="28" spans="1:23" x14ac:dyDescent="0.3">
      <c r="F28" s="88"/>
      <c r="I28" s="195"/>
      <c r="J28" s="195"/>
      <c r="K28" s="195"/>
      <c r="L28" s="195"/>
      <c r="M28" s="195"/>
      <c r="N28" s="195"/>
      <c r="O28" s="195"/>
      <c r="P28" s="195"/>
      <c r="Q28" s="195"/>
      <c r="R28" s="195"/>
      <c r="S28" s="195"/>
      <c r="T28" s="195"/>
      <c r="U28" s="195"/>
    </row>
    <row r="29" spans="1:23" x14ac:dyDescent="0.3">
      <c r="I29" s="195"/>
      <c r="J29" s="195"/>
      <c r="K29" s="195"/>
      <c r="L29" s="195"/>
      <c r="M29" s="195"/>
      <c r="N29" s="195"/>
      <c r="O29" s="195"/>
      <c r="P29" s="195"/>
      <c r="Q29" s="195"/>
      <c r="R29" s="195"/>
      <c r="S29" s="195"/>
      <c r="T29" s="195"/>
      <c r="U29" s="195"/>
    </row>
    <row r="30" spans="1:23" x14ac:dyDescent="0.3">
      <c r="I30" s="195"/>
      <c r="J30" s="195"/>
      <c r="K30" s="195"/>
      <c r="L30" s="195"/>
      <c r="M30" s="195"/>
      <c r="N30" s="195"/>
      <c r="O30" s="195"/>
      <c r="P30" s="195"/>
      <c r="Q30" s="195"/>
      <c r="R30" s="195"/>
      <c r="S30" s="195"/>
      <c r="T30" s="195"/>
      <c r="U30" s="195"/>
    </row>
    <row r="31" spans="1:23" x14ac:dyDescent="0.3">
      <c r="F31" s="88"/>
      <c r="I31" s="195"/>
      <c r="J31" s="195"/>
      <c r="K31" s="195"/>
      <c r="L31" s="195"/>
      <c r="M31" s="195"/>
      <c r="N31" s="195"/>
      <c r="O31" s="195"/>
      <c r="P31" s="195"/>
      <c r="Q31" s="195"/>
      <c r="R31" s="195"/>
      <c r="S31" s="195"/>
      <c r="T31" s="195"/>
      <c r="U31" s="195"/>
    </row>
    <row r="32" spans="1:23" x14ac:dyDescent="0.3">
      <c r="F32" s="88"/>
      <c r="I32" s="195"/>
      <c r="J32" s="195"/>
      <c r="K32" s="195"/>
      <c r="L32" s="195"/>
      <c r="M32" s="195"/>
      <c r="N32" s="195"/>
      <c r="O32" s="195"/>
      <c r="P32" s="195"/>
      <c r="Q32" s="195"/>
      <c r="R32" s="195"/>
      <c r="S32" s="195"/>
      <c r="T32" s="195"/>
      <c r="U32" s="195"/>
    </row>
    <row r="33" spans="6:21" x14ac:dyDescent="0.3">
      <c r="F33" s="88"/>
      <c r="I33" s="195"/>
      <c r="J33" s="195"/>
      <c r="K33" s="195"/>
      <c r="L33" s="195"/>
      <c r="M33" s="195"/>
      <c r="N33" s="195"/>
      <c r="O33" s="195"/>
      <c r="P33" s="195"/>
      <c r="Q33" s="195"/>
      <c r="R33" s="195"/>
      <c r="S33" s="195"/>
      <c r="T33" s="195"/>
      <c r="U33" s="195"/>
    </row>
    <row r="34" spans="6:21" x14ac:dyDescent="0.3">
      <c r="F34" s="88"/>
      <c r="I34" s="195"/>
      <c r="J34" s="195"/>
      <c r="K34" s="195"/>
      <c r="L34" s="195"/>
      <c r="M34" s="195"/>
      <c r="N34" s="195"/>
      <c r="O34" s="195"/>
      <c r="P34" s="195"/>
      <c r="Q34" s="195"/>
      <c r="R34" s="195"/>
      <c r="S34" s="195"/>
      <c r="T34" s="195"/>
      <c r="U34" s="195"/>
    </row>
    <row r="35" spans="6:21" x14ac:dyDescent="0.3">
      <c r="F35" s="88"/>
      <c r="I35" s="195"/>
      <c r="J35" s="195"/>
      <c r="K35" s="195"/>
      <c r="L35" s="195"/>
      <c r="M35" s="195"/>
      <c r="N35" s="195"/>
      <c r="O35" s="195"/>
      <c r="P35" s="195"/>
      <c r="Q35" s="195"/>
      <c r="R35" s="195"/>
      <c r="S35" s="195"/>
      <c r="T35" s="195"/>
      <c r="U35" s="195"/>
    </row>
  </sheetData>
  <conditionalFormatting sqref="D2">
    <cfRule type="iconSet" priority="10">
      <iconSet iconSet="3Symbols2">
        <cfvo type="percent" val="0"/>
        <cfvo type="num" val="0.05"/>
        <cfvo type="num" val="0.05"/>
      </iconSet>
    </cfRule>
  </conditionalFormatting>
  <conditionalFormatting sqref="D2:D24">
    <cfRule type="dataBar" priority="1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{AD881D0A-C5B6-4073-8975-86106FAA753E}</x14:id>
        </ext>
      </extLst>
    </cfRule>
  </conditionalFormatting>
  <conditionalFormatting sqref="D5">
    <cfRule type="iconSet" priority="23">
      <iconSet iconSet="3Symbols2">
        <cfvo type="percent" val="0"/>
        <cfvo type="num" val="0.33"/>
        <cfvo type="num" val="0.33"/>
      </iconSet>
    </cfRule>
  </conditionalFormatting>
  <conditionalFormatting sqref="D6">
    <cfRule type="iconSet" priority="9">
      <iconSet iconSet="3Symbols2">
        <cfvo type="percent" val="0"/>
        <cfvo type="num" val="0.5"/>
        <cfvo type="num" val="0.5"/>
      </iconSet>
    </cfRule>
  </conditionalFormatting>
  <conditionalFormatting sqref="D9">
    <cfRule type="iconSet" priority="8">
      <iconSet iconSet="3Symbols2">
        <cfvo type="percent" val="0"/>
        <cfvo type="num" val="0.5"/>
        <cfvo type="num" val="0.5"/>
      </iconSet>
    </cfRule>
  </conditionalFormatting>
  <conditionalFormatting sqref="D16">
    <cfRule type="iconSet" priority="7">
      <iconSet iconSet="3Symbols2">
        <cfvo type="percent" val="0"/>
        <cfvo type="num" val="0.34599999999999997"/>
        <cfvo type="num" val="0.34599999999999997"/>
      </iconSet>
    </cfRule>
  </conditionalFormatting>
  <conditionalFormatting sqref="D17">
    <cfRule type="iconSet" priority="6">
      <iconSet iconSet="3Symbols2">
        <cfvo type="percent" val="0"/>
        <cfvo type="num" val="0.33"/>
        <cfvo type="num" val="0.33"/>
      </iconSet>
    </cfRule>
  </conditionalFormatting>
  <conditionalFormatting sqref="D24">
    <cfRule type="iconSet" priority="29">
      <iconSet iconSet="3Symbols2">
        <cfvo type="percent" val="0"/>
        <cfvo type="num" val="0.255"/>
        <cfvo type="num" val="0.255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D881D0A-C5B6-4073-8975-86106FAA753E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D2:D24</xm:sqref>
        </x14:conditionalFormatting>
        <x14:conditionalFormatting xmlns:xm="http://schemas.microsoft.com/office/excel/2006/main">
          <x14:cfRule type="iconSet" priority="25" id="{05BB4F28-4A0E-4EE5-8383-DA6B67924B5A}">
            <x14:iconSet iconSet="3Stars">
              <x14:cfvo type="percent">
                <xm:f>0</xm:f>
              </x14:cfvo>
              <x14:cfvo type="num">
                <xm:f>2</xm:f>
              </x14:cfvo>
              <x14:cfvo type="num">
                <xm:f>2</xm:f>
              </x14:cfvo>
            </x14:iconSet>
          </x14:cfRule>
          <xm:sqref>E9 E6 E18 E21 E24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EC7EC-69A2-435A-9F22-6649C8815B29}">
  <sheetPr>
    <tabColor rgb="FF00E6AA"/>
  </sheetPr>
  <dimension ref="A1:T52"/>
  <sheetViews>
    <sheetView topLeftCell="A30" zoomScale="84" workbookViewId="0">
      <selection activeCell="K37" sqref="K37"/>
    </sheetView>
  </sheetViews>
  <sheetFormatPr defaultColWidth="8.88671875" defaultRowHeight="14.4" x14ac:dyDescent="0.3"/>
  <cols>
    <col min="1" max="1" width="13.6640625" style="309" customWidth="1"/>
    <col min="2" max="2" width="12.33203125" style="338" bestFit="1" customWidth="1"/>
    <col min="3" max="3" width="8.88671875" style="338"/>
    <col min="4" max="4" width="15.6640625" style="338" customWidth="1"/>
    <col min="5" max="5" width="10.33203125" style="302" bestFit="1" customWidth="1"/>
    <col min="6" max="6" width="8.88671875" style="302"/>
    <col min="7" max="7" width="12.5546875" style="302" customWidth="1"/>
    <col min="8" max="16384" width="8.88671875" style="302"/>
  </cols>
  <sheetData>
    <row r="1" spans="1:20" ht="15" thickBot="1" x14ac:dyDescent="0.35">
      <c r="A1" s="401" t="s">
        <v>59</v>
      </c>
      <c r="B1" s="402" t="s">
        <v>61</v>
      </c>
      <c r="C1" s="403" t="s">
        <v>60</v>
      </c>
      <c r="D1" s="408" t="s">
        <v>13</v>
      </c>
      <c r="F1" s="279" t="s">
        <v>55</v>
      </c>
      <c r="H1" s="412"/>
      <c r="I1" s="318" t="s">
        <v>15</v>
      </c>
      <c r="J1" s="318" t="s">
        <v>65</v>
      </c>
      <c r="K1" s="318" t="s">
        <v>62</v>
      </c>
      <c r="L1" s="318" t="s">
        <v>63</v>
      </c>
      <c r="M1" s="318" t="s">
        <v>45</v>
      </c>
      <c r="N1" s="318" t="s">
        <v>64</v>
      </c>
      <c r="O1" s="318" t="s">
        <v>66</v>
      </c>
      <c r="P1" s="318" t="s">
        <v>10</v>
      </c>
      <c r="Q1" s="506"/>
      <c r="R1" s="506"/>
      <c r="S1" s="506"/>
      <c r="T1" s="506"/>
    </row>
    <row r="2" spans="1:20" ht="15" thickBot="1" x14ac:dyDescent="0.35">
      <c r="A2" s="306" t="s">
        <v>38</v>
      </c>
      <c r="B2" s="389"/>
      <c r="C2" s="407">
        <v>12</v>
      </c>
      <c r="D2" s="390">
        <f>B2/C2</f>
        <v>0</v>
      </c>
      <c r="E2" s="422"/>
      <c r="F2" s="277">
        <f>SUM(F5:F45)</f>
        <v>0</v>
      </c>
      <c r="H2" s="412"/>
      <c r="I2" s="318">
        <v>1</v>
      </c>
      <c r="J2" s="318">
        <v>1</v>
      </c>
      <c r="K2" s="318">
        <v>1</v>
      </c>
      <c r="L2" s="318">
        <v>1</v>
      </c>
      <c r="M2" s="318">
        <v>1</v>
      </c>
      <c r="N2" s="318">
        <v>1</v>
      </c>
      <c r="O2" s="318">
        <v>1</v>
      </c>
      <c r="P2" s="318">
        <v>1</v>
      </c>
      <c r="Q2" s="506"/>
      <c r="R2" s="506"/>
      <c r="S2" s="506"/>
      <c r="T2" s="506"/>
    </row>
    <row r="3" spans="1:20" ht="15" thickBot="1" x14ac:dyDescent="0.35">
      <c r="A3" s="307" t="s">
        <v>4</v>
      </c>
      <c r="B3" s="394"/>
      <c r="C3" s="395">
        <v>44</v>
      </c>
      <c r="D3" s="396">
        <f>B3/C3</f>
        <v>0</v>
      </c>
      <c r="F3" s="316"/>
      <c r="H3" s="412"/>
      <c r="I3" s="318">
        <v>2</v>
      </c>
      <c r="J3" s="318">
        <f>IF($B5 &gt;= 50, 1, 0)</f>
        <v>0</v>
      </c>
      <c r="K3" s="318">
        <f>IF($B$14 &gt;= 50, 1, 0)</f>
        <v>0</v>
      </c>
      <c r="L3" s="318">
        <f>IF($B$22 &gt;= 50, 1, 0)</f>
        <v>0</v>
      </c>
      <c r="M3" s="318">
        <f>IF($B$29 &gt;= 45, 1,)</f>
        <v>0</v>
      </c>
      <c r="N3" s="318">
        <f>IF($B$37 &gt;= 50, 1,)</f>
        <v>0</v>
      </c>
      <c r="O3" s="318">
        <f>IF($B$45 &gt;= 50, 1,)</f>
        <v>0</v>
      </c>
      <c r="P3" s="318">
        <f>IF($B$52 &gt;= 45, 1, 0)</f>
        <v>0</v>
      </c>
      <c r="Q3" s="506"/>
      <c r="R3" s="506"/>
      <c r="S3" s="506"/>
      <c r="T3" s="506"/>
    </row>
    <row r="4" spans="1:20" ht="15" thickBot="1" x14ac:dyDescent="0.35">
      <c r="A4" s="307" t="s">
        <v>5</v>
      </c>
      <c r="B4" s="392"/>
      <c r="C4" s="392">
        <v>44</v>
      </c>
      <c r="D4" s="393">
        <f>B4/C4</f>
        <v>0</v>
      </c>
      <c r="E4" s="405" t="s">
        <v>23</v>
      </c>
      <c r="F4" s="280" t="s">
        <v>50</v>
      </c>
      <c r="H4" s="412"/>
      <c r="I4" s="318">
        <v>3</v>
      </c>
      <c r="J4" s="318">
        <f>IF($B$5 &gt;= 62, 1, 0)</f>
        <v>0</v>
      </c>
      <c r="K4" s="318">
        <f>IF($B$14 &gt;= 62, 1, 0)</f>
        <v>0</v>
      </c>
      <c r="L4" s="318">
        <f>IF($B$22 &gt;= 60, 1, )</f>
        <v>0</v>
      </c>
      <c r="M4" s="318">
        <f>IF($B$29 &gt;= 55, 1, )</f>
        <v>0</v>
      </c>
      <c r="N4" s="318">
        <f>IF($B$37 &gt;= 63, 1,)</f>
        <v>0</v>
      </c>
      <c r="O4" s="318">
        <f>IF($B$45 &gt;= 60, 1,)</f>
        <v>0</v>
      </c>
      <c r="P4" s="318">
        <f>IF($B$52 &gt;= 55, 1, )</f>
        <v>0</v>
      </c>
      <c r="Q4" s="506"/>
      <c r="R4" s="506"/>
      <c r="S4" s="506"/>
      <c r="T4" s="506"/>
    </row>
    <row r="5" spans="1:20" ht="15" thickBot="1" x14ac:dyDescent="0.35">
      <c r="A5" s="308" t="s">
        <v>8</v>
      </c>
      <c r="B5" s="397">
        <f>SUM(B2:B4)</f>
        <v>0</v>
      </c>
      <c r="C5" s="398">
        <v>100</v>
      </c>
      <c r="D5" s="399">
        <f>B5/C5</f>
        <v>0</v>
      </c>
      <c r="E5" s="400">
        <f>J7</f>
        <v>1</v>
      </c>
      <c r="F5" s="276">
        <f>IF($E$5 &gt;1, 6, 0)</f>
        <v>0</v>
      </c>
      <c r="H5" s="412"/>
      <c r="I5" s="318">
        <v>4</v>
      </c>
      <c r="J5" s="318">
        <f>IF($B$5 &gt;= 75, 1, 0)</f>
        <v>0</v>
      </c>
      <c r="K5" s="318">
        <f>IF($B$14 &gt;= 75, 1, 0)</f>
        <v>0</v>
      </c>
      <c r="L5" s="318">
        <f>IF($B$22 &gt;= 70, 1, 0)</f>
        <v>0</v>
      </c>
      <c r="M5" s="318">
        <f>IF($B$29 &gt;= 70, 1, )</f>
        <v>0</v>
      </c>
      <c r="N5" s="318">
        <f>IF($B$37 &gt;= 76, 1,)</f>
        <v>0</v>
      </c>
      <c r="O5" s="318">
        <f>IF($B$45 &gt;= 72, 1,)</f>
        <v>0</v>
      </c>
      <c r="P5" s="318">
        <f>IF($B$52 &gt;= 70, 1, 0)</f>
        <v>0</v>
      </c>
      <c r="Q5" s="506"/>
      <c r="R5" s="506"/>
      <c r="S5" s="506"/>
      <c r="T5" s="506"/>
    </row>
    <row r="6" spans="1:20" x14ac:dyDescent="0.3">
      <c r="H6" s="412"/>
      <c r="I6" s="318">
        <v>5</v>
      </c>
      <c r="J6" s="318">
        <f>IF($B$5 &gt;= 87, 1, 0)</f>
        <v>0</v>
      </c>
      <c r="K6" s="318">
        <f>IF($B$14 &gt;= 90, 1, 0)</f>
        <v>0</v>
      </c>
      <c r="L6" s="318">
        <f>IF($B$22 &gt;= 85, 1, 0)</f>
        <v>0</v>
      </c>
      <c r="M6" s="318">
        <f>IF($B$29 &gt;= 85, 1, 0)</f>
        <v>0</v>
      </c>
      <c r="N6" s="318">
        <f>IF($B$37 &gt;= 89, 1,)</f>
        <v>0</v>
      </c>
      <c r="O6" s="318">
        <f>IF($B$45 &gt;= 85, 1,)</f>
        <v>0</v>
      </c>
      <c r="P6" s="318">
        <f>IF($B$52 &gt;= 85, 1, 0)</f>
        <v>0</v>
      </c>
      <c r="Q6" s="506"/>
      <c r="R6" s="506"/>
      <c r="S6" s="506"/>
      <c r="T6" s="506"/>
    </row>
    <row r="7" spans="1:20" ht="15" thickBot="1" x14ac:dyDescent="0.35">
      <c r="H7" s="412"/>
      <c r="I7" s="318" t="s">
        <v>17</v>
      </c>
      <c r="J7" s="318">
        <f>SUM(J2:J6)</f>
        <v>1</v>
      </c>
      <c r="K7" s="318">
        <f t="shared" ref="K7:M7" si="0">SUM(K2:K6)</f>
        <v>1</v>
      </c>
      <c r="L7" s="318">
        <f t="shared" si="0"/>
        <v>1</v>
      </c>
      <c r="M7" s="318">
        <f t="shared" si="0"/>
        <v>1</v>
      </c>
      <c r="N7" s="318">
        <f>SUM(N2:N6)</f>
        <v>1</v>
      </c>
      <c r="O7" s="318">
        <f>SUM(O2:O6)</f>
        <v>1</v>
      </c>
      <c r="P7" s="318">
        <f t="shared" ref="P7" si="1">SUM(P2:P6)</f>
        <v>1</v>
      </c>
      <c r="Q7" s="506"/>
      <c r="R7" s="506"/>
      <c r="S7" s="506"/>
      <c r="T7" s="506"/>
    </row>
    <row r="8" spans="1:20" ht="15" thickBot="1" x14ac:dyDescent="0.35">
      <c r="A8" s="310" t="s">
        <v>58</v>
      </c>
      <c r="B8" s="339" t="s">
        <v>61</v>
      </c>
      <c r="C8" s="339" t="s">
        <v>60</v>
      </c>
      <c r="D8" s="339" t="s">
        <v>13</v>
      </c>
      <c r="I8" s="506"/>
      <c r="J8" s="506"/>
      <c r="K8" s="506"/>
      <c r="L8" s="506"/>
      <c r="M8" s="506"/>
      <c r="N8" s="506"/>
      <c r="O8" s="506"/>
      <c r="P8" s="506"/>
      <c r="Q8" s="506"/>
      <c r="R8" s="506"/>
      <c r="S8" s="506"/>
      <c r="T8" s="506"/>
    </row>
    <row r="9" spans="1:20" x14ac:dyDescent="0.3">
      <c r="A9" s="311" t="s">
        <v>38</v>
      </c>
      <c r="B9" s="545"/>
      <c r="C9" s="545">
        <v>15</v>
      </c>
      <c r="D9" s="554">
        <f>B9/C9</f>
        <v>0</v>
      </c>
      <c r="F9" s="315"/>
      <c r="I9" s="506"/>
      <c r="J9" s="506"/>
      <c r="K9" s="506"/>
      <c r="L9" s="506"/>
      <c r="M9" s="506"/>
      <c r="N9" s="506"/>
      <c r="O9" s="506"/>
      <c r="P9" s="506"/>
      <c r="Q9" s="506"/>
      <c r="R9" s="506"/>
      <c r="S9" s="506"/>
      <c r="T9" s="506"/>
    </row>
    <row r="10" spans="1:20" x14ac:dyDescent="0.3">
      <c r="A10" s="312" t="s">
        <v>39</v>
      </c>
      <c r="B10" s="569"/>
      <c r="C10" s="546">
        <v>8</v>
      </c>
      <c r="D10" s="555">
        <f t="shared" ref="D10:D12" si="2">B10/C10</f>
        <v>0</v>
      </c>
      <c r="F10" s="315"/>
      <c r="I10" s="506"/>
      <c r="J10" s="506"/>
      <c r="K10" s="506"/>
      <c r="L10" s="506"/>
      <c r="M10" s="506"/>
      <c r="N10" s="506"/>
      <c r="O10" s="506"/>
      <c r="P10" s="506"/>
      <c r="Q10" s="506"/>
      <c r="R10" s="506"/>
      <c r="S10" s="506"/>
      <c r="T10" s="506"/>
    </row>
    <row r="11" spans="1:20" x14ac:dyDescent="0.3">
      <c r="A11" s="312" t="s">
        <v>67</v>
      </c>
      <c r="B11" s="548"/>
      <c r="C11" s="549">
        <v>2</v>
      </c>
      <c r="D11" s="550">
        <f t="shared" si="2"/>
        <v>0</v>
      </c>
      <c r="F11" s="315"/>
      <c r="I11" s="506"/>
      <c r="J11" s="506"/>
      <c r="K11" s="506"/>
      <c r="L11" s="506"/>
      <c r="M11" s="506"/>
      <c r="N11" s="506"/>
      <c r="O11" s="506"/>
      <c r="P11" s="506"/>
      <c r="Q11" s="506"/>
      <c r="R11" s="506"/>
      <c r="S11" s="506"/>
      <c r="T11" s="506"/>
    </row>
    <row r="12" spans="1:20" ht="15" thickBot="1" x14ac:dyDescent="0.35">
      <c r="A12" s="312" t="s">
        <v>4</v>
      </c>
      <c r="B12" s="559"/>
      <c r="C12" s="546">
        <v>35</v>
      </c>
      <c r="D12" s="547">
        <f t="shared" si="2"/>
        <v>0</v>
      </c>
      <c r="E12" s="305">
        <f>(B13+B12)/(C12+C13)</f>
        <v>0</v>
      </c>
      <c r="I12" s="506"/>
      <c r="J12" s="506"/>
      <c r="K12" s="506"/>
      <c r="L12" s="506"/>
      <c r="M12" s="506"/>
      <c r="N12" s="506"/>
      <c r="O12" s="506"/>
      <c r="P12" s="506"/>
      <c r="Q12" s="506"/>
      <c r="R12" s="506"/>
      <c r="S12" s="506"/>
      <c r="T12" s="506"/>
    </row>
    <row r="13" spans="1:20" ht="15" thickBot="1" x14ac:dyDescent="0.35">
      <c r="A13" s="312" t="s">
        <v>5</v>
      </c>
      <c r="B13" s="548"/>
      <c r="C13" s="549">
        <v>40</v>
      </c>
      <c r="D13" s="551">
        <f>B13/C13</f>
        <v>0</v>
      </c>
      <c r="E13" s="404" t="s">
        <v>23</v>
      </c>
      <c r="F13" s="280" t="s">
        <v>50</v>
      </c>
      <c r="I13" s="506"/>
      <c r="J13" s="506"/>
      <c r="K13" s="506"/>
      <c r="L13" s="506"/>
      <c r="M13" s="506"/>
      <c r="N13" s="506"/>
      <c r="O13" s="506"/>
      <c r="P13" s="506"/>
      <c r="Q13" s="506"/>
      <c r="R13" s="506"/>
      <c r="S13" s="506"/>
      <c r="T13" s="506"/>
    </row>
    <row r="14" spans="1:20" ht="15" thickBot="1" x14ac:dyDescent="0.35">
      <c r="A14" s="313" t="s">
        <v>8</v>
      </c>
      <c r="B14" s="570">
        <f>SUM(B9:B13)</f>
        <v>0</v>
      </c>
      <c r="C14" s="552">
        <f>SUM(C9:C13)</f>
        <v>100</v>
      </c>
      <c r="D14" s="553">
        <f>B14/C14</f>
        <v>0</v>
      </c>
      <c r="E14" s="556">
        <f>K7</f>
        <v>1</v>
      </c>
      <c r="F14" s="276">
        <f>IF($E$14 &gt;1, 5, 0)</f>
        <v>0</v>
      </c>
      <c r="I14" s="506"/>
      <c r="J14" s="506"/>
      <c r="K14" s="506"/>
      <c r="L14" s="506"/>
      <c r="M14" s="506"/>
      <c r="N14" s="506"/>
      <c r="O14" s="506"/>
      <c r="P14" s="506"/>
      <c r="Q14" s="506"/>
      <c r="R14" s="506"/>
      <c r="S14" s="506"/>
      <c r="T14" s="506"/>
    </row>
    <row r="15" spans="1:20" x14ac:dyDescent="0.3">
      <c r="I15" s="506"/>
      <c r="J15" s="506"/>
      <c r="K15" s="506"/>
      <c r="L15" s="506"/>
      <c r="M15" s="506"/>
      <c r="N15" s="506"/>
      <c r="O15" s="506"/>
      <c r="P15" s="506"/>
      <c r="Q15" s="506"/>
      <c r="R15" s="506"/>
      <c r="S15" s="506"/>
      <c r="T15" s="506"/>
    </row>
    <row r="16" spans="1:20" ht="15" thickBot="1" x14ac:dyDescent="0.35">
      <c r="K16" s="506"/>
      <c r="L16" s="506"/>
      <c r="M16" s="506"/>
      <c r="N16" s="506"/>
      <c r="O16" s="506"/>
      <c r="P16" s="506"/>
      <c r="Q16" s="506"/>
      <c r="R16" s="506"/>
      <c r="S16" s="506"/>
      <c r="T16" s="506"/>
    </row>
    <row r="17" spans="1:6" ht="15" thickBot="1" x14ac:dyDescent="0.35">
      <c r="A17" s="321" t="s">
        <v>32</v>
      </c>
      <c r="B17" s="322" t="s">
        <v>6</v>
      </c>
      <c r="C17" s="323" t="s">
        <v>60</v>
      </c>
      <c r="D17" s="324" t="s">
        <v>13</v>
      </c>
      <c r="E17" s="558"/>
      <c r="F17" s="315"/>
    </row>
    <row r="18" spans="1:6" x14ac:dyDescent="0.3">
      <c r="A18" s="325" t="s">
        <v>1</v>
      </c>
      <c r="B18" s="326"/>
      <c r="C18" s="326">
        <v>10</v>
      </c>
      <c r="D18" s="327">
        <f>B18/C18</f>
        <v>0</v>
      </c>
      <c r="E18" s="328" t="s">
        <v>80</v>
      </c>
      <c r="F18" s="315"/>
    </row>
    <row r="19" spans="1:6" x14ac:dyDescent="0.3">
      <c r="A19" s="329" t="s">
        <v>39</v>
      </c>
      <c r="B19" s="571"/>
      <c r="C19" s="319">
        <v>10</v>
      </c>
      <c r="D19" s="331">
        <f t="shared" ref="D19:D20" si="3">B19/C19</f>
        <v>0</v>
      </c>
      <c r="F19" s="315"/>
    </row>
    <row r="20" spans="1:6" ht="15" thickBot="1" x14ac:dyDescent="0.35">
      <c r="A20" s="329" t="s">
        <v>4</v>
      </c>
      <c r="B20" s="332"/>
      <c r="C20" s="320">
        <v>40</v>
      </c>
      <c r="D20" s="327">
        <f t="shared" si="3"/>
        <v>0</v>
      </c>
      <c r="F20" s="315"/>
    </row>
    <row r="21" spans="1:6" x14ac:dyDescent="0.3">
      <c r="A21" s="329" t="s">
        <v>5</v>
      </c>
      <c r="B21" s="319"/>
      <c r="C21" s="319">
        <v>40</v>
      </c>
      <c r="D21" s="331">
        <f>B21/C21</f>
        <v>0</v>
      </c>
      <c r="E21" s="333" t="s">
        <v>14</v>
      </c>
      <c r="F21" s="280" t="s">
        <v>50</v>
      </c>
    </row>
    <row r="22" spans="1:6" ht="15" thickBot="1" x14ac:dyDescent="0.35">
      <c r="A22" s="334" t="s">
        <v>8</v>
      </c>
      <c r="B22" s="566">
        <f>SUM(B18:B21)</f>
        <v>0</v>
      </c>
      <c r="C22" s="335">
        <v>100</v>
      </c>
      <c r="D22" s="336">
        <f>B22/C22</f>
        <v>0</v>
      </c>
      <c r="E22" s="337">
        <f>L7</f>
        <v>1</v>
      </c>
      <c r="F22" s="276">
        <f>IF($E$22 &gt;1, 6, 0)</f>
        <v>0</v>
      </c>
    </row>
    <row r="23" spans="1:6" x14ac:dyDescent="0.3">
      <c r="F23" s="315"/>
    </row>
    <row r="24" spans="1:6" ht="15" thickBot="1" x14ac:dyDescent="0.35"/>
    <row r="25" spans="1:6" ht="15" thickBot="1" x14ac:dyDescent="0.35">
      <c r="A25" s="189" t="s">
        <v>68</v>
      </c>
      <c r="B25" s="190" t="s">
        <v>6</v>
      </c>
      <c r="C25" s="191" t="s">
        <v>7</v>
      </c>
      <c r="D25" s="192" t="s">
        <v>13</v>
      </c>
      <c r="F25" s="315"/>
    </row>
    <row r="26" spans="1:6" x14ac:dyDescent="0.3">
      <c r="A26" s="186" t="s">
        <v>39</v>
      </c>
      <c r="B26" s="197"/>
      <c r="C26" s="197">
        <v>5</v>
      </c>
      <c r="D26" s="198">
        <f>B26/C26</f>
        <v>0</v>
      </c>
      <c r="E26" s="316"/>
    </row>
    <row r="27" spans="1:6" ht="15" thickBot="1" x14ac:dyDescent="0.35">
      <c r="A27" s="187" t="s">
        <v>4</v>
      </c>
      <c r="B27" s="199"/>
      <c r="C27" s="200">
        <v>50</v>
      </c>
      <c r="D27" s="201">
        <f t="shared" ref="D27:D29" si="4">B27/C27</f>
        <v>0</v>
      </c>
      <c r="E27" s="316"/>
    </row>
    <row r="28" spans="1:6" x14ac:dyDescent="0.3">
      <c r="A28" s="187" t="s">
        <v>5</v>
      </c>
      <c r="B28" s="197"/>
      <c r="C28" s="202">
        <v>50</v>
      </c>
      <c r="D28" s="203">
        <f t="shared" si="4"/>
        <v>0</v>
      </c>
      <c r="E28" s="193" t="s">
        <v>14</v>
      </c>
      <c r="F28" s="280" t="s">
        <v>50</v>
      </c>
    </row>
    <row r="29" spans="1:6" ht="15" thickBot="1" x14ac:dyDescent="0.35">
      <c r="A29" s="188" t="s">
        <v>8</v>
      </c>
      <c r="B29" s="204">
        <f>SUM(B26:B28)</f>
        <v>0</v>
      </c>
      <c r="C29" s="205">
        <v>100</v>
      </c>
      <c r="D29" s="207">
        <f t="shared" si="4"/>
        <v>0</v>
      </c>
      <c r="E29" s="557">
        <f>M7</f>
        <v>1</v>
      </c>
      <c r="F29" s="276">
        <f>IF($E$29 &gt;1, 7, 0)</f>
        <v>0</v>
      </c>
    </row>
    <row r="30" spans="1:6" x14ac:dyDescent="0.3">
      <c r="F30" s="315"/>
    </row>
    <row r="31" spans="1:6" ht="15" thickBot="1" x14ac:dyDescent="0.35"/>
    <row r="32" spans="1:6" ht="15" thickBot="1" x14ac:dyDescent="0.35">
      <c r="A32" s="355" t="s">
        <v>69</v>
      </c>
      <c r="B32" s="350" t="s">
        <v>61</v>
      </c>
      <c r="C32" s="348" t="s">
        <v>60</v>
      </c>
      <c r="D32" s="349" t="s">
        <v>13</v>
      </c>
      <c r="F32" s="315"/>
    </row>
    <row r="33" spans="1:7" ht="15" thickBot="1" x14ac:dyDescent="0.35">
      <c r="A33" s="356" t="s">
        <v>38</v>
      </c>
      <c r="B33" s="351"/>
      <c r="C33" s="347">
        <v>20</v>
      </c>
      <c r="D33" s="359">
        <f>B33/C33</f>
        <v>0</v>
      </c>
      <c r="E33" s="361"/>
    </row>
    <row r="34" spans="1:7" x14ac:dyDescent="0.3">
      <c r="A34" s="357" t="s">
        <v>4</v>
      </c>
      <c r="B34" s="352"/>
      <c r="C34" s="345">
        <v>10</v>
      </c>
      <c r="D34" s="17">
        <f t="shared" ref="D34:D37" si="5">B34/C34</f>
        <v>0</v>
      </c>
      <c r="E34" s="804">
        <f>(B34+B35)/(C34+C35)</f>
        <v>0</v>
      </c>
    </row>
    <row r="35" spans="1:7" ht="15" thickBot="1" x14ac:dyDescent="0.35">
      <c r="A35" s="357" t="s">
        <v>34</v>
      </c>
      <c r="B35" s="344"/>
      <c r="C35" s="344">
        <v>30</v>
      </c>
      <c r="D35" s="22">
        <f t="shared" si="5"/>
        <v>0</v>
      </c>
      <c r="E35" s="805"/>
      <c r="F35" s="315"/>
    </row>
    <row r="36" spans="1:7" x14ac:dyDescent="0.3">
      <c r="A36" s="357" t="s">
        <v>35</v>
      </c>
      <c r="B36" s="352"/>
      <c r="C36" s="345">
        <v>40</v>
      </c>
      <c r="D36" s="17">
        <f t="shared" si="5"/>
        <v>0</v>
      </c>
      <c r="E36" s="362" t="s">
        <v>23</v>
      </c>
      <c r="F36" s="280" t="s">
        <v>50</v>
      </c>
    </row>
    <row r="37" spans="1:7" ht="15" thickBot="1" x14ac:dyDescent="0.35">
      <c r="A37" s="358" t="s">
        <v>8</v>
      </c>
      <c r="B37" s="354">
        <f>SUM(B32:B36)</f>
        <v>0</v>
      </c>
      <c r="C37" s="346">
        <f>SUM(C33:C36)</f>
        <v>100</v>
      </c>
      <c r="D37" s="360">
        <f t="shared" si="5"/>
        <v>0</v>
      </c>
      <c r="E37" s="110">
        <f>N7</f>
        <v>1</v>
      </c>
      <c r="F37" s="276">
        <f>IF($E$37 &gt;1, 4, 0)</f>
        <v>0</v>
      </c>
    </row>
    <row r="39" spans="1:7" ht="15" thickBot="1" x14ac:dyDescent="0.35"/>
    <row r="40" spans="1:7" ht="15" thickBot="1" x14ac:dyDescent="0.35">
      <c r="A40" s="364" t="s">
        <v>70</v>
      </c>
      <c r="B40" s="367" t="s">
        <v>61</v>
      </c>
      <c r="C40" s="369" t="s">
        <v>60</v>
      </c>
      <c r="D40" s="368" t="s">
        <v>13</v>
      </c>
      <c r="E40" s="363"/>
      <c r="G40" s="806"/>
    </row>
    <row r="41" spans="1:7" x14ac:dyDescent="0.3">
      <c r="A41" s="370" t="s">
        <v>39</v>
      </c>
      <c r="B41" s="377"/>
      <c r="C41" s="378">
        <v>20</v>
      </c>
      <c r="D41" s="379">
        <f>B41/C41</f>
        <v>0</v>
      </c>
      <c r="E41" s="363"/>
    </row>
    <row r="42" spans="1:7" x14ac:dyDescent="0.3">
      <c r="A42" s="372" t="s">
        <v>27</v>
      </c>
      <c r="B42" s="380"/>
      <c r="C42" s="381">
        <v>10</v>
      </c>
      <c r="D42" s="382">
        <f t="shared" ref="D42:D45" si="6">B42/C42</f>
        <v>0</v>
      </c>
      <c r="E42" s="363"/>
    </row>
    <row r="43" spans="1:7" ht="15" thickBot="1" x14ac:dyDescent="0.35">
      <c r="A43" s="373" t="s">
        <v>4</v>
      </c>
      <c r="B43" s="384"/>
      <c r="C43" s="385">
        <v>30</v>
      </c>
      <c r="D43" s="386">
        <f t="shared" si="6"/>
        <v>0</v>
      </c>
      <c r="E43" s="363"/>
    </row>
    <row r="44" spans="1:7" x14ac:dyDescent="0.3">
      <c r="A44" s="383" t="s">
        <v>5</v>
      </c>
      <c r="B44" s="381"/>
      <c r="C44" s="381">
        <v>40</v>
      </c>
      <c r="D44" s="388">
        <f t="shared" si="6"/>
        <v>0</v>
      </c>
      <c r="E44" s="406" t="s">
        <v>23</v>
      </c>
      <c r="F44" s="365" t="s">
        <v>50</v>
      </c>
    </row>
    <row r="45" spans="1:7" ht="15" thickBot="1" x14ac:dyDescent="0.35">
      <c r="A45" s="371" t="s">
        <v>8</v>
      </c>
      <c r="B45" s="374">
        <f>SUM(B41:B44)</f>
        <v>0</v>
      </c>
      <c r="C45" s="375">
        <f>SUM(C41:C44)</f>
        <v>100</v>
      </c>
      <c r="D45" s="376">
        <f t="shared" si="6"/>
        <v>0</v>
      </c>
      <c r="E45" s="387">
        <f>O7</f>
        <v>1</v>
      </c>
      <c r="F45" s="366">
        <f>IF($E$45 &gt;1, 2, 0)</f>
        <v>0</v>
      </c>
    </row>
    <row r="47" spans="1:7" ht="15" thickBot="1" x14ac:dyDescent="0.35"/>
    <row r="48" spans="1:7" ht="15" thickBot="1" x14ac:dyDescent="0.35">
      <c r="A48" s="4" t="s">
        <v>10</v>
      </c>
      <c r="B48" s="5" t="s">
        <v>6</v>
      </c>
      <c r="C48" s="6" t="s">
        <v>7</v>
      </c>
      <c r="D48" s="7" t="s">
        <v>13</v>
      </c>
    </row>
    <row r="49" spans="1:6" x14ac:dyDescent="0.3">
      <c r="A49" s="1" t="s">
        <v>11</v>
      </c>
      <c r="B49" s="45"/>
      <c r="C49" s="46">
        <v>5</v>
      </c>
      <c r="D49" s="47">
        <f>B49/C49</f>
        <v>0</v>
      </c>
    </row>
    <row r="50" spans="1:6" ht="15" thickBot="1" x14ac:dyDescent="0.35">
      <c r="A50" s="2" t="s">
        <v>4</v>
      </c>
      <c r="B50" s="50"/>
      <c r="C50" s="51">
        <v>50</v>
      </c>
      <c r="D50" s="52">
        <f t="shared" ref="D50:D52" si="7">B50/C50</f>
        <v>0</v>
      </c>
    </row>
    <row r="51" spans="1:6" x14ac:dyDescent="0.3">
      <c r="A51" s="2" t="s">
        <v>5</v>
      </c>
      <c r="B51" s="45"/>
      <c r="C51" s="49">
        <v>50</v>
      </c>
      <c r="D51" s="74">
        <f t="shared" si="7"/>
        <v>0</v>
      </c>
      <c r="E51" s="82" t="s">
        <v>14</v>
      </c>
      <c r="F51" s="279" t="s">
        <v>50</v>
      </c>
    </row>
    <row r="52" spans="1:6" ht="15" thickBot="1" x14ac:dyDescent="0.35">
      <c r="A52" s="3" t="s">
        <v>8</v>
      </c>
      <c r="B52" s="53">
        <f>IF((B50+B51) &gt;= 45,SUM(B49:B51),(B50+B51))</f>
        <v>0</v>
      </c>
      <c r="C52" s="54">
        <v>100</v>
      </c>
      <c r="D52" s="75">
        <f t="shared" si="7"/>
        <v>0</v>
      </c>
      <c r="E52" s="86">
        <f>P7</f>
        <v>1</v>
      </c>
      <c r="F52" s="277">
        <f>IF($E$52 &gt;1, 5, 0)</f>
        <v>0</v>
      </c>
    </row>
  </sheetData>
  <mergeCells count="1">
    <mergeCell ref="E34:E35"/>
  </mergeCells>
  <conditionalFormatting sqref="D2">
    <cfRule type="iconSet" priority="39">
      <iconSet iconSet="3Symbols2">
        <cfvo type="percent" val="0"/>
        <cfvo type="num" val="0.02"/>
        <cfvo type="num" val="0.02"/>
      </iconSet>
    </cfRule>
  </conditionalFormatting>
  <conditionalFormatting sqref="D2:D47 D53:D55">
    <cfRule type="dataBar" priority="4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{1788B2A8-C74C-4840-88D4-3BD793EBA677}</x14:id>
        </ext>
      </extLst>
    </cfRule>
  </conditionalFormatting>
  <conditionalFormatting sqref="D4">
    <cfRule type="iconSet" priority="37">
      <iconSet iconSet="3Symbols2">
        <cfvo type="percent" val="0"/>
        <cfvo type="num" val="0.2"/>
        <cfvo type="num" val="0.2"/>
      </iconSet>
    </cfRule>
  </conditionalFormatting>
  <conditionalFormatting sqref="D5">
    <cfRule type="iconSet" priority="36">
      <iconSet iconSet="3Symbols2">
        <cfvo type="percent" val="0"/>
        <cfvo type="num" val="0.5"/>
        <cfvo type="num" val="0.5"/>
      </iconSet>
    </cfRule>
  </conditionalFormatting>
  <conditionalFormatting sqref="D9:D14">
    <cfRule type="dataBar" priority="3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{1ADF597E-A7E1-48ED-97E8-90DDF4E240B6}</x14:id>
        </ext>
      </extLst>
    </cfRule>
  </conditionalFormatting>
  <conditionalFormatting sqref="D14">
    <cfRule type="iconSet" priority="5">
      <iconSet iconSet="3Symbols2">
        <cfvo type="percent" val="0"/>
        <cfvo type="num" val="0.5"/>
        <cfvo type="num" val="0.5"/>
      </iconSet>
    </cfRule>
  </conditionalFormatting>
  <conditionalFormatting sqref="D18">
    <cfRule type="iconSet" priority="22">
      <iconSet iconSet="3Symbols2">
        <cfvo type="percent" val="0"/>
        <cfvo type="num" val="0.5"/>
        <cfvo type="num" val="0.5"/>
      </iconSet>
    </cfRule>
  </conditionalFormatting>
  <conditionalFormatting sqref="D18:D22">
    <cfRule type="dataBar" priority="25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{5638A298-55F0-49A3-932F-67AEDCDD16D8}</x14:id>
        </ext>
      </extLst>
    </cfRule>
  </conditionalFormatting>
  <conditionalFormatting sqref="D22">
    <cfRule type="iconSet" priority="20">
      <iconSet iconSet="3Symbols2">
        <cfvo type="percent" val="0"/>
        <cfvo type="num" val="0.5"/>
        <cfvo type="num" val="0.5"/>
      </iconSet>
    </cfRule>
  </conditionalFormatting>
  <conditionalFormatting sqref="D26">
    <cfRule type="iconSet" priority="14">
      <iconSet iconSet="3Symbols2">
        <cfvo type="percent" val="0"/>
        <cfvo type="num" val="0.5"/>
        <cfvo type="num" val="0.5"/>
      </iconSet>
    </cfRule>
  </conditionalFormatting>
  <conditionalFormatting sqref="D29">
    <cfRule type="iconSet" priority="15">
      <iconSet iconSet="3Symbols2">
        <cfvo type="percent" val="0"/>
        <cfvo type="num" val="0.45"/>
        <cfvo type="num" val="0.45"/>
      </iconSet>
    </cfRule>
  </conditionalFormatting>
  <conditionalFormatting sqref="D43">
    <cfRule type="iconSet" priority="7">
      <iconSet iconSet="3Symbols2">
        <cfvo type="percent" val="0"/>
        <cfvo type="num" val="0.33"/>
        <cfvo type="num" val="0.33"/>
      </iconSet>
    </cfRule>
  </conditionalFormatting>
  <conditionalFormatting sqref="D44">
    <cfRule type="iconSet" priority="6">
      <iconSet iconSet="3Symbols2">
        <cfvo type="percent" val="0"/>
        <cfvo type="num" val="0.375"/>
        <cfvo type="num" val="0.375"/>
      </iconSet>
    </cfRule>
  </conditionalFormatting>
  <conditionalFormatting sqref="D48">
    <cfRule type="dataBar" priority="2">
      <dataBar>
        <cfvo type="num" val="0"/>
        <cfvo type="num" val="1"/>
        <color rgb="FF00B0F0"/>
      </dataBar>
      <extLst>
        <ext xmlns:x14="http://schemas.microsoft.com/office/spreadsheetml/2009/9/main" uri="{B025F937-C7B1-47D3-B67F-A62EFF666E3E}">
          <x14:id>{2C03C824-C9CE-4C4E-9E15-80DB0FB1D2AE}</x14:id>
        </ext>
      </extLst>
    </cfRule>
  </conditionalFormatting>
  <conditionalFormatting sqref="D49:D52">
    <cfRule type="dataBar" priority="4">
      <dataBar>
        <cfvo type="num" val="0"/>
        <cfvo type="num" val="1"/>
        <color rgb="FF00B0F0"/>
      </dataBar>
      <extLst>
        <ext xmlns:x14="http://schemas.microsoft.com/office/spreadsheetml/2009/9/main" uri="{B025F937-C7B1-47D3-B67F-A62EFF666E3E}">
          <x14:id>{C45E08E1-44B4-44B5-A888-75F05984ED6A}</x14:id>
        </ext>
      </extLst>
    </cfRule>
  </conditionalFormatting>
  <conditionalFormatting sqref="D52">
    <cfRule type="iconSet" priority="1">
      <iconSet iconSet="3Symbols2">
        <cfvo type="percent" val="0"/>
        <cfvo type="num" val="0.45"/>
        <cfvo type="num" val="0.45"/>
      </iconSet>
    </cfRule>
  </conditionalFormatting>
  <conditionalFormatting sqref="E12">
    <cfRule type="iconSet" priority="32">
      <iconSet iconSet="3Symbols2">
        <cfvo type="percent" val="0"/>
        <cfvo type="num" val="0.5"/>
        <cfvo type="num" val="0.5"/>
      </iconSet>
    </cfRule>
    <cfRule type="dataBar" priority="33">
      <dataBar>
        <cfvo type="num" val="0"/>
        <cfvo type="num" val="1"/>
        <color rgb="FF0070C0"/>
      </dataBar>
      <extLst>
        <ext xmlns:x14="http://schemas.microsoft.com/office/spreadsheetml/2009/9/main" uri="{B025F937-C7B1-47D3-B67F-A62EFF666E3E}">
          <x14:id>{0BB36BCC-0A3E-42A6-90FB-24A92F0B2C1D}</x14:id>
        </ext>
      </extLst>
    </cfRule>
  </conditionalFormatting>
  <conditionalFormatting sqref="E34">
    <cfRule type="iconSet" priority="10">
      <iconSet iconSet="3Symbols2">
        <cfvo type="percent" val="0"/>
        <cfvo type="num" val="0.4"/>
        <cfvo type="num" val="0.4"/>
      </iconSet>
    </cfRule>
    <cfRule type="dataBar" priority="11">
      <dataBar>
        <cfvo type="num" val="0"/>
        <cfvo type="num" val="1"/>
        <color rgb="FF00B0F0"/>
      </dataBar>
      <extLst>
        <ext xmlns:x14="http://schemas.microsoft.com/office/spreadsheetml/2009/9/main" uri="{B025F937-C7B1-47D3-B67F-A62EFF666E3E}">
          <x14:id>{65ED1405-31E2-493A-8153-DFFEF45C0C11}</x14:id>
        </ext>
      </extLs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88B2A8-C74C-4840-88D4-3BD793EBA677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D2:D47 D53:D55</xm:sqref>
        </x14:conditionalFormatting>
        <x14:conditionalFormatting xmlns:xm="http://schemas.microsoft.com/office/excel/2006/main">
          <x14:cfRule type="dataBar" id="{1ADF597E-A7E1-48ED-97E8-90DDF4E240B6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D9:D14</xm:sqref>
        </x14:conditionalFormatting>
        <x14:conditionalFormatting xmlns:xm="http://schemas.microsoft.com/office/excel/2006/main">
          <x14:cfRule type="dataBar" id="{5638A298-55F0-49A3-932F-67AEDCDD16D8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theme="2" tint="-0.249977111117893"/>
              <x14:negativeFillColor rgb="FFFF0000"/>
              <x14:negativeBorderColor rgb="FFFF0000"/>
              <x14:axisColor rgb="FF000000"/>
            </x14:dataBar>
          </x14:cfRule>
          <xm:sqref>D18:D22</xm:sqref>
        </x14:conditionalFormatting>
        <x14:conditionalFormatting xmlns:xm="http://schemas.microsoft.com/office/excel/2006/main">
          <x14:cfRule type="dataBar" id="{2C03C824-C9CE-4C4E-9E15-80DB0FB1D2AE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B0F0"/>
              <x14:negativeFillColor rgb="FFFF0000"/>
              <x14:negativeBorderColor rgb="FFFF0000"/>
              <x14:axisColor rgb="FF000000"/>
            </x14:dataBar>
          </x14:cfRule>
          <xm:sqref>D48</xm:sqref>
        </x14:conditionalFormatting>
        <x14:conditionalFormatting xmlns:xm="http://schemas.microsoft.com/office/excel/2006/main">
          <x14:cfRule type="dataBar" id="{C45E08E1-44B4-44B5-A888-75F05984ED6A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B0F0"/>
              <x14:negativeFillColor rgb="FFFF0000"/>
              <x14:negativeBorderColor rgb="FFFF0000"/>
              <x14:axisColor rgb="FF000000"/>
            </x14:dataBar>
          </x14:cfRule>
          <xm:sqref>D49:D52</xm:sqref>
        </x14:conditionalFormatting>
        <x14:conditionalFormatting xmlns:xm="http://schemas.microsoft.com/office/excel/2006/main">
          <x14:cfRule type="iconSet" priority="18" id="{E4302F6B-FA37-4D79-8EA5-A2638EB4613F}">
            <x14:iconSet iconSet="3Stars">
              <x14:cfvo type="percent">
                <xm:f>0</xm:f>
              </x14:cfvo>
              <x14:cfvo type="num">
                <xm:f>2</xm:f>
              </x14:cfvo>
              <x14:cfvo type="num">
                <xm:f>2</xm:f>
              </x14:cfvo>
            </x14:iconSet>
          </x14:cfRule>
          <xm:sqref>E5</xm:sqref>
        </x14:conditionalFormatting>
        <x14:conditionalFormatting xmlns:xm="http://schemas.microsoft.com/office/excel/2006/main">
          <x14:cfRule type="dataBar" id="{0BB36BCC-0A3E-42A6-90FB-24A92F0B2C1D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E12</xm:sqref>
        </x14:conditionalFormatting>
        <x14:conditionalFormatting xmlns:xm="http://schemas.microsoft.com/office/excel/2006/main">
          <x14:cfRule type="iconSet" priority="19" id="{FEE2CD7A-7A94-44BA-9FC4-0D430F5E17D3}">
            <x14:iconSet iconSet="3Stars">
              <x14:cfvo type="percent">
                <xm:f>0</xm:f>
              </x14:cfvo>
              <x14:cfvo type="num">
                <xm:f>2</xm:f>
              </x14:cfvo>
              <x14:cfvo type="num">
                <xm:f>2</xm:f>
              </x14:cfvo>
            </x14:iconSet>
          </x14:cfRule>
          <xm:sqref>E14</xm:sqref>
        </x14:conditionalFormatting>
        <x14:conditionalFormatting xmlns:xm="http://schemas.microsoft.com/office/excel/2006/main">
          <x14:cfRule type="iconSet" priority="26" id="{DC91AC26-3AA6-433F-991D-E515F9678796}">
            <x14:iconSet iconSet="3Stars">
              <x14:cfvo type="percent">
                <xm:f>0</xm:f>
              </x14:cfvo>
              <x14:cfvo type="num">
                <xm:f>2</xm:f>
              </x14:cfvo>
              <x14:cfvo type="num">
                <xm:f>2</xm:f>
              </x14:cfvo>
            </x14:iconSet>
          </x14:cfRule>
          <xm:sqref>E22</xm:sqref>
        </x14:conditionalFormatting>
        <x14:conditionalFormatting xmlns:xm="http://schemas.microsoft.com/office/excel/2006/main">
          <x14:cfRule type="iconSet" priority="17" id="{D02B2908-21AE-4CCD-8C61-CB65E85FF4AF}">
            <x14:iconSet iconSet="3Stars">
              <x14:cfvo type="percent">
                <xm:f>0</xm:f>
              </x14:cfvo>
              <x14:cfvo type="num">
                <xm:f>2</xm:f>
              </x14:cfvo>
              <x14:cfvo type="num">
                <xm:f>2</xm:f>
              </x14:cfvo>
            </x14:iconSet>
          </x14:cfRule>
          <xm:sqref>E29</xm:sqref>
        </x14:conditionalFormatting>
        <x14:conditionalFormatting xmlns:xm="http://schemas.microsoft.com/office/excel/2006/main">
          <x14:cfRule type="dataBar" id="{65ED1405-31E2-493A-8153-DFFEF45C0C11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B0F0"/>
              <x14:negativeFillColor rgb="FFFF0000"/>
              <x14:negativeBorderColor rgb="FFFF0000"/>
              <x14:axisColor rgb="FF000000"/>
            </x14:dataBar>
          </x14:cfRule>
          <xm:sqref>E34</xm:sqref>
        </x14:conditionalFormatting>
        <x14:conditionalFormatting xmlns:xm="http://schemas.microsoft.com/office/excel/2006/main">
          <x14:cfRule type="iconSet" priority="13" id="{C94D841F-A1B9-4C45-9182-541BC1529A46}">
            <x14:iconSet iconSet="3Stars">
              <x14:cfvo type="percent">
                <xm:f>0</xm:f>
              </x14:cfvo>
              <x14:cfvo type="num">
                <xm:f>2</xm:f>
              </x14:cfvo>
              <x14:cfvo type="num">
                <xm:f>2</xm:f>
              </x14:cfvo>
            </x14:iconSet>
          </x14:cfRule>
          <xm:sqref>E37</xm:sqref>
        </x14:conditionalFormatting>
        <x14:conditionalFormatting xmlns:xm="http://schemas.microsoft.com/office/excel/2006/main">
          <x14:cfRule type="iconSet" priority="9" id="{44EF61D6-DCD2-4D1A-A685-984D954ABBD1}">
            <x14:iconSet iconSet="3Stars">
              <x14:cfvo type="percent">
                <xm:f>0</xm:f>
              </x14:cfvo>
              <x14:cfvo type="num">
                <xm:f>2</xm:f>
              </x14:cfvo>
              <x14:cfvo type="num">
                <xm:f>2</xm:f>
              </x14:cfvo>
            </x14:iconSet>
          </x14:cfRule>
          <xm:sqref>E45</xm:sqref>
        </x14:conditionalFormatting>
        <x14:conditionalFormatting xmlns:xm="http://schemas.microsoft.com/office/excel/2006/main">
          <x14:cfRule type="iconSet" priority="3" id="{E330F3B9-4CA0-4FA4-957F-546CE82004D7}">
            <x14:iconSet iconSet="3Stars">
              <x14:cfvo type="percent">
                <xm:f>0</xm:f>
              </x14:cfvo>
              <x14:cfvo type="num">
                <xm:f>2</xm:f>
              </x14:cfvo>
              <x14:cfvo type="num">
                <xm:f>2</xm:f>
              </x14:cfvo>
            </x14:iconSet>
          </x14:cfRule>
          <xm:sqref>E52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6F101-D830-447D-ACF8-97283F3A8F2B}">
  <sheetPr>
    <tabColor rgb="FF002060"/>
  </sheetPr>
  <dimension ref="A1:Q41"/>
  <sheetViews>
    <sheetView tabSelected="1" topLeftCell="A22" zoomScale="112" workbookViewId="0">
      <selection activeCell="F37" sqref="F37"/>
    </sheetView>
  </sheetViews>
  <sheetFormatPr defaultColWidth="8.88671875" defaultRowHeight="14.4" x14ac:dyDescent="0.3"/>
  <cols>
    <col min="1" max="1" width="14.6640625" style="338" customWidth="1"/>
    <col min="2" max="2" width="13" style="309" customWidth="1"/>
    <col min="3" max="3" width="8.88671875" style="338"/>
    <col min="4" max="4" width="12.33203125" style="411" customWidth="1"/>
    <col min="5" max="6" width="8.88671875" style="302"/>
    <col min="7" max="7" width="14.109375" style="302" customWidth="1"/>
    <col min="8" max="9" width="8.88671875" style="302"/>
    <col min="10" max="10" width="15.44140625" style="302" bestFit="1" customWidth="1"/>
    <col min="11" max="16384" width="8.88671875" style="302"/>
  </cols>
  <sheetData>
    <row r="1" spans="1:17" ht="15" thickBot="1" x14ac:dyDescent="0.35">
      <c r="A1" s="464" t="s">
        <v>71</v>
      </c>
      <c r="B1" s="489" t="s">
        <v>61</v>
      </c>
      <c r="C1" s="468" t="s">
        <v>60</v>
      </c>
      <c r="D1" s="469" t="s">
        <v>13</v>
      </c>
      <c r="F1" s="279" t="s">
        <v>55</v>
      </c>
      <c r="G1" s="506"/>
      <c r="J1" s="412" t="s">
        <v>73</v>
      </c>
      <c r="K1" s="412" t="s">
        <v>75</v>
      </c>
      <c r="L1" s="412" t="s">
        <v>74</v>
      </c>
      <c r="M1" s="536" t="s">
        <v>76</v>
      </c>
      <c r="N1" s="412" t="s">
        <v>77</v>
      </c>
      <c r="O1" s="412" t="s">
        <v>78</v>
      </c>
      <c r="P1" s="318" t="s">
        <v>66</v>
      </c>
    </row>
    <row r="2" spans="1:17" ht="15" thickBot="1" x14ac:dyDescent="0.35">
      <c r="A2" s="465" t="s">
        <v>72</v>
      </c>
      <c r="B2" s="416"/>
      <c r="C2" s="416">
        <v>10</v>
      </c>
      <c r="D2" s="426">
        <f>B2/C2</f>
        <v>0</v>
      </c>
      <c r="F2" s="277">
        <f>SUM(F5:F43)</f>
        <v>0</v>
      </c>
      <c r="J2" s="412">
        <v>1</v>
      </c>
      <c r="K2" s="318">
        <v>1</v>
      </c>
      <c r="L2" s="318">
        <v>1</v>
      </c>
      <c r="M2" s="318">
        <v>1</v>
      </c>
      <c r="N2" s="318">
        <v>1</v>
      </c>
      <c r="O2" s="318">
        <v>1</v>
      </c>
      <c r="P2" s="318">
        <v>1</v>
      </c>
      <c r="Q2" s="506"/>
    </row>
    <row r="3" spans="1:17" ht="15" thickBot="1" x14ac:dyDescent="0.35">
      <c r="A3" s="466" t="s">
        <v>4</v>
      </c>
      <c r="B3" s="490"/>
      <c r="C3" s="417">
        <v>50</v>
      </c>
      <c r="D3" s="413">
        <f t="shared" ref="D3:D5" si="0">B3/C3</f>
        <v>0</v>
      </c>
      <c r="F3" s="316"/>
      <c r="J3" s="412">
        <v>2</v>
      </c>
      <c r="K3" s="318">
        <f>IF($B5 &gt;= 45, 1, 0)</f>
        <v>0</v>
      </c>
      <c r="L3" s="318">
        <f>IF($B$12 &gt;= 50, 1, 0)</f>
        <v>0</v>
      </c>
      <c r="M3" s="318">
        <f>IF($B$19 &gt;= 50, 1, 0)</f>
        <v>0</v>
      </c>
      <c r="N3" s="318">
        <f>IF($B$27 &gt;= 45, 1,)</f>
        <v>0</v>
      </c>
      <c r="O3" s="318">
        <f>IF($B$33 &gt;= 40, 1,)</f>
        <v>0</v>
      </c>
      <c r="P3" s="318">
        <f>IF($B$41 &gt;= 50, 1,)</f>
        <v>0</v>
      </c>
      <c r="Q3" s="506"/>
    </row>
    <row r="4" spans="1:17" x14ac:dyDescent="0.3">
      <c r="A4" s="466" t="s">
        <v>5</v>
      </c>
      <c r="B4" s="418"/>
      <c r="C4" s="418">
        <v>40</v>
      </c>
      <c r="D4" s="414">
        <f t="shared" si="0"/>
        <v>0</v>
      </c>
      <c r="E4" s="420" t="s">
        <v>23</v>
      </c>
      <c r="F4" s="280" t="s">
        <v>50</v>
      </c>
      <c r="J4" s="412">
        <v>3</v>
      </c>
      <c r="K4" s="318">
        <f>IF($B$5 &gt;= 55, 1, 0)</f>
        <v>0</v>
      </c>
      <c r="L4" s="318">
        <f>IF($B$12 &gt;= 62.5, 1, 0)</f>
        <v>0</v>
      </c>
      <c r="M4" s="318">
        <f>IF($B$19 &gt;= 65, 1, 0)</f>
        <v>0</v>
      </c>
      <c r="N4" s="318">
        <f>IF($B$27 &gt;= 50, 1,)</f>
        <v>0</v>
      </c>
      <c r="O4" s="318">
        <f>IF($B$33 &gt;= 55, 1,)</f>
        <v>0</v>
      </c>
      <c r="P4" s="318">
        <f>IF($B$41 &gt;= 60, 1,)</f>
        <v>0</v>
      </c>
      <c r="Q4" s="506"/>
    </row>
    <row r="5" spans="1:17" ht="15" thickBot="1" x14ac:dyDescent="0.35">
      <c r="A5" s="467" t="s">
        <v>54</v>
      </c>
      <c r="B5" s="560">
        <f>SUM(B2:B4)</f>
        <v>0</v>
      </c>
      <c r="C5" s="419">
        <f>SUM(C2:C4)</f>
        <v>100</v>
      </c>
      <c r="D5" s="415">
        <f t="shared" si="0"/>
        <v>0</v>
      </c>
      <c r="E5" s="421">
        <f>K7</f>
        <v>1</v>
      </c>
      <c r="F5" s="276">
        <f>IF($E$5 &gt;1, 6, 0)</f>
        <v>0</v>
      </c>
      <c r="J5" s="412">
        <v>4</v>
      </c>
      <c r="K5" s="318">
        <f>IF($B$5 &gt;= 70, 1, 0)</f>
        <v>0</v>
      </c>
      <c r="L5" s="318">
        <f>IF($B$12 &gt;= 75, 1, 0)</f>
        <v>0</v>
      </c>
      <c r="M5" s="318">
        <f>IF($B$19 &gt;= 80, 1, 0)</f>
        <v>0</v>
      </c>
      <c r="N5" s="318">
        <f>IF($B$27 &gt;= 70, 1,)</f>
        <v>0</v>
      </c>
      <c r="O5" s="318">
        <f>IF($B$33 &gt;= 70, 1,)</f>
        <v>0</v>
      </c>
      <c r="P5" s="318">
        <f>IF($B$41 &gt;= 72, 1,)</f>
        <v>0</v>
      </c>
      <c r="Q5" s="506"/>
    </row>
    <row r="6" spans="1:17" x14ac:dyDescent="0.3">
      <c r="J6" s="412">
        <v>5</v>
      </c>
      <c r="K6" s="318">
        <f>IF($B$5 &gt;= 85, 1, 0)</f>
        <v>0</v>
      </c>
      <c r="L6" s="318">
        <f>IF($B$12 &gt;= 87.5, 1, 0)</f>
        <v>0</v>
      </c>
      <c r="M6" s="318">
        <f>IF($B$19 &gt;= 90, 1, 0)</f>
        <v>0</v>
      </c>
      <c r="N6" s="318">
        <f>IF($B$27 &gt;= 85, 1,)</f>
        <v>0</v>
      </c>
      <c r="O6" s="318">
        <f>IF($B$33 &gt;= 85, 1,)</f>
        <v>0</v>
      </c>
      <c r="P6" s="318">
        <f>IF($B$41 &gt;= 85, 1,)</f>
        <v>0</v>
      </c>
      <c r="Q6" s="506"/>
    </row>
    <row r="7" spans="1:17" ht="15" thickBot="1" x14ac:dyDescent="0.35">
      <c r="A7" s="428"/>
      <c r="J7" s="412" t="s">
        <v>17</v>
      </c>
      <c r="K7" s="318">
        <f t="shared" ref="K7:P7" si="1">SUM(K2:K6)</f>
        <v>1</v>
      </c>
      <c r="L7" s="318">
        <f t="shared" si="1"/>
        <v>1</v>
      </c>
      <c r="M7" s="318">
        <f t="shared" si="1"/>
        <v>1</v>
      </c>
      <c r="N7" s="318">
        <f t="shared" si="1"/>
        <v>1</v>
      </c>
      <c r="O7" s="318">
        <f t="shared" si="1"/>
        <v>1</v>
      </c>
      <c r="P7" s="318">
        <f t="shared" si="1"/>
        <v>1</v>
      </c>
      <c r="Q7" s="506"/>
    </row>
    <row r="8" spans="1:17" ht="15" thickBot="1" x14ac:dyDescent="0.35">
      <c r="A8" s="474" t="s">
        <v>74</v>
      </c>
      <c r="B8" s="491" t="s">
        <v>61</v>
      </c>
      <c r="C8" s="478" t="s">
        <v>60</v>
      </c>
      <c r="D8" s="479" t="s">
        <v>13</v>
      </c>
      <c r="G8" s="806"/>
      <c r="J8" s="506"/>
      <c r="K8" s="506"/>
      <c r="L8" s="506"/>
      <c r="M8" s="506"/>
      <c r="N8" s="506"/>
      <c r="O8" s="506"/>
      <c r="P8" s="506"/>
      <c r="Q8" s="506"/>
    </row>
    <row r="9" spans="1:17" x14ac:dyDescent="0.3">
      <c r="A9" s="475" t="s">
        <v>38</v>
      </c>
      <c r="B9" s="500"/>
      <c r="C9" s="588">
        <v>15</v>
      </c>
      <c r="D9" s="470">
        <f>B9/C9</f>
        <v>0</v>
      </c>
      <c r="F9" s="315"/>
      <c r="J9" s="506"/>
      <c r="K9" s="506"/>
      <c r="L9" s="506"/>
      <c r="M9" s="506"/>
      <c r="N9" s="506"/>
      <c r="O9" s="506"/>
      <c r="P9" s="506"/>
      <c r="Q9" s="506"/>
    </row>
    <row r="10" spans="1:17" ht="15" thickBot="1" x14ac:dyDescent="0.35">
      <c r="A10" s="476" t="s">
        <v>4</v>
      </c>
      <c r="B10" s="501"/>
      <c r="C10" s="589">
        <v>40</v>
      </c>
      <c r="D10" s="473">
        <f t="shared" ref="D10:D11" si="2">B10/C10</f>
        <v>0</v>
      </c>
      <c r="E10" s="441"/>
      <c r="F10" s="315"/>
      <c r="J10" s="506"/>
      <c r="K10" s="506"/>
      <c r="L10" s="506"/>
      <c r="M10" s="506"/>
      <c r="N10" s="506"/>
      <c r="O10" s="506"/>
      <c r="P10" s="506"/>
      <c r="Q10" s="506"/>
    </row>
    <row r="11" spans="1:17" x14ac:dyDescent="0.3">
      <c r="A11" s="476" t="s">
        <v>5</v>
      </c>
      <c r="B11" s="500"/>
      <c r="C11" s="590">
        <v>45</v>
      </c>
      <c r="D11" s="471">
        <f t="shared" si="2"/>
        <v>0</v>
      </c>
      <c r="E11" s="480" t="s">
        <v>23</v>
      </c>
      <c r="F11" s="280" t="s">
        <v>50</v>
      </c>
      <c r="J11" s="506"/>
      <c r="K11" s="506"/>
      <c r="L11" s="506"/>
      <c r="M11" s="506"/>
      <c r="N11" s="506"/>
      <c r="O11" s="506"/>
      <c r="P11" s="506"/>
      <c r="Q11" s="506"/>
    </row>
    <row r="12" spans="1:17" ht="15" thickBot="1" x14ac:dyDescent="0.35">
      <c r="A12" s="477" t="s">
        <v>21</v>
      </c>
      <c r="B12" s="503">
        <f>SUM(B9:B11)</f>
        <v>0</v>
      </c>
      <c r="C12" s="591">
        <f>SUM(C9:C11)</f>
        <v>100</v>
      </c>
      <c r="D12" s="472">
        <f>B12/C12</f>
        <v>0</v>
      </c>
      <c r="E12" s="423">
        <f>L7</f>
        <v>1</v>
      </c>
      <c r="F12" s="276">
        <f>IF($E$12 &gt;1, 6, 0)</f>
        <v>0</v>
      </c>
      <c r="J12" s="506"/>
      <c r="K12" s="506"/>
      <c r="L12" s="506"/>
      <c r="M12" s="506"/>
      <c r="N12" s="506"/>
      <c r="O12" s="506"/>
      <c r="P12" s="506"/>
      <c r="Q12" s="506"/>
    </row>
    <row r="13" spans="1:17" x14ac:dyDescent="0.3">
      <c r="J13" s="506"/>
      <c r="K13" s="506"/>
      <c r="L13" s="506"/>
      <c r="M13" s="506"/>
      <c r="N13" s="506"/>
      <c r="O13" s="506"/>
      <c r="P13" s="506"/>
      <c r="Q13" s="506"/>
    </row>
    <row r="14" spans="1:17" ht="15" thickBot="1" x14ac:dyDescent="0.35">
      <c r="A14" s="428"/>
      <c r="B14" s="565"/>
      <c r="C14" s="428"/>
      <c r="D14" s="429"/>
      <c r="J14" s="506"/>
      <c r="K14" s="506"/>
      <c r="L14" s="506"/>
      <c r="M14" s="506"/>
      <c r="N14" s="506"/>
      <c r="O14" s="506"/>
      <c r="P14" s="506"/>
      <c r="Q14" s="506"/>
    </row>
    <row r="15" spans="1:17" ht="15" thickBot="1" x14ac:dyDescent="0.35">
      <c r="A15" s="481" t="s">
        <v>76</v>
      </c>
      <c r="B15" s="485" t="s">
        <v>61</v>
      </c>
      <c r="C15" s="579" t="s">
        <v>60</v>
      </c>
      <c r="D15" s="487" t="s">
        <v>13</v>
      </c>
      <c r="E15" s="309"/>
      <c r="G15" s="806"/>
    </row>
    <row r="16" spans="1:17" x14ac:dyDescent="0.3">
      <c r="A16" s="482" t="s">
        <v>38</v>
      </c>
      <c r="B16" s="437"/>
      <c r="C16" s="580">
        <v>15</v>
      </c>
      <c r="D16" s="439">
        <f>B16/C16</f>
        <v>0</v>
      </c>
      <c r="E16" s="309"/>
    </row>
    <row r="17" spans="1:7" ht="15" thickBot="1" x14ac:dyDescent="0.35">
      <c r="A17" s="483" t="s">
        <v>4</v>
      </c>
      <c r="B17" s="435"/>
      <c r="C17" s="581">
        <v>40</v>
      </c>
      <c r="D17" s="431">
        <f t="shared" ref="D17:D19" si="3">B17/C17</f>
        <v>0</v>
      </c>
      <c r="E17" s="432"/>
      <c r="F17" s="315"/>
    </row>
    <row r="18" spans="1:7" x14ac:dyDescent="0.3">
      <c r="A18" s="483" t="s">
        <v>5</v>
      </c>
      <c r="B18" s="437"/>
      <c r="C18" s="582">
        <v>45</v>
      </c>
      <c r="D18" s="430">
        <f t="shared" si="3"/>
        <v>0</v>
      </c>
      <c r="E18" s="488" t="s">
        <v>23</v>
      </c>
      <c r="F18" s="280" t="s">
        <v>50</v>
      </c>
    </row>
    <row r="19" spans="1:7" ht="15" thickBot="1" x14ac:dyDescent="0.35">
      <c r="A19" s="484" t="s">
        <v>8</v>
      </c>
      <c r="B19" s="436">
        <f>SUM(B16:B18)</f>
        <v>0</v>
      </c>
      <c r="C19" s="583">
        <f>SUM(C16:C18)</f>
        <v>100</v>
      </c>
      <c r="D19" s="433">
        <f t="shared" si="3"/>
        <v>0</v>
      </c>
      <c r="E19" s="427">
        <f>M7</f>
        <v>1</v>
      </c>
      <c r="F19" s="276">
        <f>IF($E$19 &gt;1, 6, 0)</f>
        <v>0</v>
      </c>
    </row>
    <row r="20" spans="1:7" x14ac:dyDescent="0.3">
      <c r="F20" s="315"/>
    </row>
    <row r="22" spans="1:7" ht="15" thickBot="1" x14ac:dyDescent="0.35">
      <c r="A22" s="401" t="s">
        <v>79</v>
      </c>
      <c r="B22" s="561" t="s">
        <v>61</v>
      </c>
      <c r="C22" s="403" t="s">
        <v>60</v>
      </c>
      <c r="D22" s="408" t="s">
        <v>13</v>
      </c>
      <c r="G22" s="806"/>
    </row>
    <row r="23" spans="1:7" x14ac:dyDescent="0.3">
      <c r="A23" s="306" t="s">
        <v>38</v>
      </c>
      <c r="B23" s="492"/>
      <c r="C23" s="407">
        <v>15</v>
      </c>
      <c r="D23" s="390">
        <f>B23/C23</f>
        <v>0</v>
      </c>
      <c r="E23" s="361"/>
      <c r="F23" s="315"/>
    </row>
    <row r="24" spans="1:7" x14ac:dyDescent="0.3">
      <c r="A24" s="306" t="s">
        <v>39</v>
      </c>
      <c r="B24" s="562"/>
      <c r="C24" s="446">
        <v>5</v>
      </c>
      <c r="D24" s="396">
        <f>B24/C24</f>
        <v>0</v>
      </c>
    </row>
    <row r="25" spans="1:7" ht="15" thickBot="1" x14ac:dyDescent="0.35">
      <c r="A25" s="307" t="s">
        <v>4</v>
      </c>
      <c r="B25" s="563"/>
      <c r="C25" s="392">
        <v>40</v>
      </c>
      <c r="D25" s="393">
        <f>B25/C25</f>
        <v>0</v>
      </c>
      <c r="F25" s="315"/>
    </row>
    <row r="26" spans="1:7" ht="15" thickBot="1" x14ac:dyDescent="0.35">
      <c r="A26" s="307" t="s">
        <v>5</v>
      </c>
      <c r="B26" s="562"/>
      <c r="C26" s="395">
        <v>40</v>
      </c>
      <c r="D26" s="396">
        <f>B26/C26</f>
        <v>0</v>
      </c>
      <c r="E26" s="405" t="s">
        <v>23</v>
      </c>
      <c r="F26" s="280" t="s">
        <v>50</v>
      </c>
    </row>
    <row r="27" spans="1:7" ht="15" thickBot="1" x14ac:dyDescent="0.35">
      <c r="A27" s="308" t="s">
        <v>8</v>
      </c>
      <c r="B27" s="494">
        <f>SUM(B23:B26)</f>
        <v>0</v>
      </c>
      <c r="C27" s="443">
        <v>100</v>
      </c>
      <c r="D27" s="444">
        <f>B27/C27</f>
        <v>0</v>
      </c>
      <c r="E27" s="445">
        <f>N7</f>
        <v>1</v>
      </c>
      <c r="F27" s="276">
        <f>IF($E$27 &gt;1, 6, 0)</f>
        <v>0</v>
      </c>
    </row>
    <row r="29" spans="1:7" ht="15" thickBot="1" x14ac:dyDescent="0.35"/>
    <row r="30" spans="1:7" ht="15" thickBot="1" x14ac:dyDescent="0.35">
      <c r="A30" s="457" t="s">
        <v>78</v>
      </c>
      <c r="B30" s="460" t="s">
        <v>61</v>
      </c>
      <c r="C30" s="584" t="s">
        <v>60</v>
      </c>
      <c r="D30" s="462" t="s">
        <v>13</v>
      </c>
      <c r="E30" s="317"/>
      <c r="F30" s="315"/>
      <c r="G30" s="506"/>
    </row>
    <row r="31" spans="1:7" ht="15" thickBot="1" x14ac:dyDescent="0.35">
      <c r="A31" s="458" t="s">
        <v>4</v>
      </c>
      <c r="B31" s="451"/>
      <c r="C31" s="585">
        <v>50</v>
      </c>
      <c r="D31" s="452">
        <f>B31/C31</f>
        <v>0</v>
      </c>
      <c r="E31" s="447"/>
    </row>
    <row r="32" spans="1:7" x14ac:dyDescent="0.3">
      <c r="A32" s="458" t="s">
        <v>5</v>
      </c>
      <c r="B32" s="448"/>
      <c r="C32" s="586">
        <v>50</v>
      </c>
      <c r="D32" s="450">
        <f>B32/C32</f>
        <v>0</v>
      </c>
      <c r="E32" s="463" t="s">
        <v>23</v>
      </c>
      <c r="F32" s="280" t="s">
        <v>50</v>
      </c>
    </row>
    <row r="33" spans="1:7" ht="15" thickBot="1" x14ac:dyDescent="0.35">
      <c r="A33" s="459" t="s">
        <v>8</v>
      </c>
      <c r="B33" s="453">
        <f>SUM(B31:B32)</f>
        <v>0</v>
      </c>
      <c r="C33" s="587">
        <f>SUM(C31:C32)</f>
        <v>100</v>
      </c>
      <c r="D33" s="455">
        <f t="shared" ref="D33" si="4">B33/C33</f>
        <v>0</v>
      </c>
      <c r="E33" s="456">
        <f>O7</f>
        <v>1</v>
      </c>
      <c r="F33" s="276">
        <f>IF($E$33 &gt;1, 4, 0)</f>
        <v>0</v>
      </c>
    </row>
    <row r="35" spans="1:7" ht="15" thickBot="1" x14ac:dyDescent="0.35">
      <c r="F35" s="315"/>
    </row>
    <row r="36" spans="1:7" ht="15" thickBot="1" x14ac:dyDescent="0.35">
      <c r="A36" s="364" t="s">
        <v>70</v>
      </c>
      <c r="B36" s="495" t="s">
        <v>61</v>
      </c>
      <c r="C36" s="369" t="s">
        <v>60</v>
      </c>
      <c r="D36" s="368" t="s">
        <v>13</v>
      </c>
      <c r="E36" s="363"/>
      <c r="G36" s="806"/>
    </row>
    <row r="37" spans="1:7" x14ac:dyDescent="0.3">
      <c r="A37" s="370" t="s">
        <v>39</v>
      </c>
      <c r="B37" s="496"/>
      <c r="C37" s="378">
        <v>20</v>
      </c>
      <c r="D37" s="379">
        <f>B37/C37</f>
        <v>0</v>
      </c>
      <c r="E37" s="363"/>
    </row>
    <row r="38" spans="1:7" x14ac:dyDescent="0.3">
      <c r="A38" s="372" t="s">
        <v>27</v>
      </c>
      <c r="B38" s="564"/>
      <c r="C38" s="381">
        <v>10</v>
      </c>
      <c r="D38" s="382">
        <f t="shared" ref="D38:D41" si="5">B38/C38</f>
        <v>0</v>
      </c>
      <c r="E38" s="363"/>
    </row>
    <row r="39" spans="1:7" ht="15" thickBot="1" x14ac:dyDescent="0.35">
      <c r="A39" s="373" t="s">
        <v>4</v>
      </c>
      <c r="B39" s="497"/>
      <c r="C39" s="385">
        <v>30</v>
      </c>
      <c r="D39" s="386">
        <f t="shared" si="5"/>
        <v>0</v>
      </c>
      <c r="E39" s="363"/>
    </row>
    <row r="40" spans="1:7" x14ac:dyDescent="0.3">
      <c r="A40" s="383" t="s">
        <v>5</v>
      </c>
      <c r="B40" s="498"/>
      <c r="C40" s="381">
        <v>40</v>
      </c>
      <c r="D40" s="388">
        <f t="shared" si="5"/>
        <v>0</v>
      </c>
      <c r="E40" s="406" t="s">
        <v>23</v>
      </c>
      <c r="F40" s="365" t="s">
        <v>50</v>
      </c>
    </row>
    <row r="41" spans="1:7" ht="15" thickBot="1" x14ac:dyDescent="0.35">
      <c r="A41" s="371" t="s">
        <v>8</v>
      </c>
      <c r="B41" s="499">
        <f>SUM(B37:B40)</f>
        <v>0</v>
      </c>
      <c r="C41" s="375">
        <f>SUM(C37:C40)</f>
        <v>100</v>
      </c>
      <c r="D41" s="376">
        <f t="shared" si="5"/>
        <v>0</v>
      </c>
      <c r="E41" s="387">
        <f>P7</f>
        <v>1</v>
      </c>
      <c r="F41" s="366">
        <f>IF($E$41 &gt;1, 2, 0)</f>
        <v>0</v>
      </c>
    </row>
  </sheetData>
  <conditionalFormatting sqref="D2:D5 D23:D27 D31:D33">
    <cfRule type="dataBar" priority="2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{2500E388-8E79-4A94-8BCD-41623916022A}</x14:id>
        </ext>
      </extLst>
    </cfRule>
  </conditionalFormatting>
  <conditionalFormatting sqref="D5">
    <cfRule type="iconSet" priority="24">
      <iconSet iconSet="3Symbols2">
        <cfvo type="percent" val="0"/>
        <cfvo type="num" val="0.45"/>
        <cfvo type="num" val="0.45"/>
      </iconSet>
    </cfRule>
  </conditionalFormatting>
  <conditionalFormatting sqref="D9:D12">
    <cfRule type="dataBar" priority="2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{BCFCDA0C-851E-4CDD-848B-36571DE961B9}</x14:id>
        </ext>
      </extLst>
    </cfRule>
  </conditionalFormatting>
  <conditionalFormatting sqref="D11">
    <cfRule type="iconSet" priority="2">
      <iconSet iconSet="3Symbols2">
        <cfvo type="percent" val="0"/>
        <cfvo type="num" val="0.4"/>
        <cfvo type="num" val="0.4"/>
      </iconSet>
    </cfRule>
  </conditionalFormatting>
  <conditionalFormatting sqref="D12">
    <cfRule type="iconSet" priority="1">
      <iconSet iconSet="3Symbols2">
        <cfvo type="percent" val="0"/>
        <cfvo type="num" val="0.5"/>
        <cfvo type="num" val="0.5"/>
      </iconSet>
    </cfRule>
  </conditionalFormatting>
  <conditionalFormatting sqref="D16">
    <cfRule type="iconSet" priority="18">
      <iconSet iconSet="3Symbols2">
        <cfvo type="percent" val="0"/>
        <cfvo type="num" val="0.2"/>
        <cfvo type="num" val="0.2"/>
      </iconSet>
    </cfRule>
  </conditionalFormatting>
  <conditionalFormatting sqref="D16:D19">
    <cfRule type="dataBar" priority="2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{09080579-47EE-4160-8D47-9271C88BF7CF}</x14:id>
        </ext>
      </extLst>
    </cfRule>
  </conditionalFormatting>
  <conditionalFormatting sqref="D19">
    <cfRule type="iconSet" priority="17">
      <iconSet iconSet="3Symbols2">
        <cfvo type="percent" val="0"/>
        <cfvo type="num" val="0.5"/>
        <cfvo type="num" val="0.5"/>
      </iconSet>
    </cfRule>
  </conditionalFormatting>
  <conditionalFormatting sqref="D27">
    <cfRule type="iconSet" priority="13">
      <iconSet iconSet="3Symbols2">
        <cfvo type="percent" val="0"/>
        <cfvo type="num" val="0.45"/>
        <cfvo type="num" val="0.45"/>
      </iconSet>
    </cfRule>
  </conditionalFormatting>
  <conditionalFormatting sqref="D31:D32">
    <cfRule type="iconSet" priority="7">
      <iconSet iconSet="3Symbols2">
        <cfvo type="percent" val="0"/>
        <cfvo type="num" val="0.1"/>
        <cfvo type="num" val="0.1"/>
      </iconSet>
    </cfRule>
  </conditionalFormatting>
  <conditionalFormatting sqref="D33">
    <cfRule type="iconSet" priority="8">
      <iconSet iconSet="3Symbols2">
        <cfvo type="percent" val="0"/>
        <cfvo type="num" val="0.5"/>
        <cfvo type="num" val="0.5"/>
      </iconSet>
    </cfRule>
  </conditionalFormatting>
  <conditionalFormatting sqref="D37:D41">
    <cfRule type="dataBar" priority="5">
      <dataBar>
        <cfvo type="num" val="0"/>
        <cfvo type="num" val="1"/>
        <color rgb="FF00B0F0"/>
      </dataBar>
      <extLst>
        <ext xmlns:x14="http://schemas.microsoft.com/office/spreadsheetml/2009/9/main" uri="{B025F937-C7B1-47D3-B67F-A62EFF666E3E}">
          <x14:id>{CE878BD2-918E-4A8D-85C7-085745AC1481}</x14:id>
        </ext>
      </extLst>
    </cfRule>
  </conditionalFormatting>
  <conditionalFormatting sqref="D39">
    <cfRule type="iconSet" priority="4">
      <iconSet iconSet="3Symbols2">
        <cfvo type="percent" val="0"/>
        <cfvo type="num" val="0.33"/>
        <cfvo type="num" val="0.33"/>
      </iconSet>
    </cfRule>
  </conditionalFormatting>
  <conditionalFormatting sqref="D40">
    <cfRule type="iconSet" priority="3">
      <iconSet iconSet="3Symbols2">
        <cfvo type="percent" val="0"/>
        <cfvo type="num" val="0.375"/>
        <cfvo type="num" val="0.375"/>
      </iconSe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500E388-8E79-4A94-8BCD-41623916022A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D2:D5 D23:D27 D31:D33</xm:sqref>
        </x14:conditionalFormatting>
        <x14:conditionalFormatting xmlns:xm="http://schemas.microsoft.com/office/excel/2006/main">
          <x14:cfRule type="dataBar" id="{BCFCDA0C-851E-4CDD-848B-36571DE961B9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D9:D12</xm:sqref>
        </x14:conditionalFormatting>
        <x14:conditionalFormatting xmlns:xm="http://schemas.microsoft.com/office/excel/2006/main">
          <x14:cfRule type="dataBar" id="{09080579-47EE-4160-8D47-9271C88BF7CF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D16:D19</xm:sqref>
        </x14:conditionalFormatting>
        <x14:conditionalFormatting xmlns:xm="http://schemas.microsoft.com/office/excel/2006/main">
          <x14:cfRule type="dataBar" id="{CE878BD2-918E-4A8D-85C7-085745AC1481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B0F0"/>
              <x14:negativeFillColor rgb="FFFF0000"/>
              <x14:negativeBorderColor rgb="FFFF0000"/>
              <x14:axisColor rgb="FF000000"/>
            </x14:dataBar>
          </x14:cfRule>
          <xm:sqref>D37:D41</xm:sqref>
        </x14:conditionalFormatting>
        <x14:conditionalFormatting xmlns:xm="http://schemas.microsoft.com/office/excel/2006/main">
          <x14:cfRule type="iconSet" priority="27" id="{714A0C7B-8162-4D3C-B7CA-8AB2E04CE162}">
            <x14:iconSet iconSet="3Stars">
              <x14:cfvo type="percent">
                <xm:f>0</xm:f>
              </x14:cfvo>
              <x14:cfvo type="num">
                <xm:f>2</xm:f>
              </x14:cfvo>
              <x14:cfvo type="num">
                <xm:f>2</xm:f>
              </x14:cfvo>
            </x14:iconSet>
          </x14:cfRule>
          <xm:sqref>E5</xm:sqref>
        </x14:conditionalFormatting>
        <x14:conditionalFormatting xmlns:xm="http://schemas.microsoft.com/office/excel/2006/main">
          <x14:cfRule type="iconSet" priority="20" id="{BDDFCBAF-0C6C-4252-A0AD-0C90E084E811}">
            <x14:iconSet iconSet="3Stars">
              <x14:cfvo type="percent">
                <xm:f>0</xm:f>
              </x14:cfvo>
              <x14:cfvo type="num">
                <xm:f>2</xm:f>
              </x14:cfvo>
              <x14:cfvo type="num">
                <xm:f>2</xm:f>
              </x14:cfvo>
            </x14:iconSet>
          </x14:cfRule>
          <xm:sqref>E12</xm:sqref>
        </x14:conditionalFormatting>
        <x14:conditionalFormatting xmlns:xm="http://schemas.microsoft.com/office/excel/2006/main">
          <x14:cfRule type="iconSet" priority="19" id="{0AB63D4A-059B-4E82-88D1-80D90AA3407D}">
            <x14:iconSet iconSet="3Stars">
              <x14:cfvo type="percent">
                <xm:f>0</xm:f>
              </x14:cfvo>
              <x14:cfvo type="num">
                <xm:f>2</xm:f>
              </x14:cfvo>
              <x14:cfvo type="num">
                <xm:f>2</xm:f>
              </x14:cfvo>
            </x14:iconSet>
          </x14:cfRule>
          <xm:sqref>E19</xm:sqref>
        </x14:conditionalFormatting>
        <x14:conditionalFormatting xmlns:xm="http://schemas.microsoft.com/office/excel/2006/main">
          <x14:cfRule type="iconSet" priority="12" id="{7E28359C-6346-4C44-B911-930BA6E3C10B}">
            <x14:iconSet iconSet="3Stars">
              <x14:cfvo type="percent">
                <xm:f>0</xm:f>
              </x14:cfvo>
              <x14:cfvo type="num">
                <xm:f>2</xm:f>
              </x14:cfvo>
              <x14:cfvo type="num">
                <xm:f>2</xm:f>
              </x14:cfvo>
            </x14:iconSet>
          </x14:cfRule>
          <xm:sqref>E27</xm:sqref>
        </x14:conditionalFormatting>
        <x14:conditionalFormatting xmlns:xm="http://schemas.microsoft.com/office/excel/2006/main">
          <x14:cfRule type="iconSet" priority="10" id="{25059374-50F8-4BF6-89F6-FD8670E23659}">
            <x14:iconSet iconSet="3Stars">
              <x14:cfvo type="percent">
                <xm:f>0</xm:f>
              </x14:cfvo>
              <x14:cfvo type="num">
                <xm:f>2</xm:f>
              </x14:cfvo>
              <x14:cfvo type="num">
                <xm:f>2</xm:f>
              </x14:cfvo>
            </x14:iconSet>
          </x14:cfRule>
          <xm:sqref>E33</xm:sqref>
        </x14:conditionalFormatting>
        <x14:conditionalFormatting xmlns:xm="http://schemas.microsoft.com/office/excel/2006/main">
          <x14:cfRule type="iconSet" priority="6" id="{71E8C96B-5959-4D5B-826F-FE913C21C451}">
            <x14:iconSet iconSet="3Stars">
              <x14:cfvo type="percent">
                <xm:f>0</xm:f>
              </x14:cfvo>
              <x14:cfvo type="num">
                <xm:f>2</xm:f>
              </x14:cfvo>
              <x14:cfvo type="num">
                <xm:f>2</xm:f>
              </x14:cfvo>
            </x14:iconSet>
          </x14:cfRule>
          <xm:sqref>E41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6657A-9D11-4684-9C5F-ACC9D1E0BB2B}">
  <sheetPr>
    <tabColor rgb="FFFFC000"/>
  </sheetPr>
  <dimension ref="A1:Y550"/>
  <sheetViews>
    <sheetView zoomScale="97" workbookViewId="0">
      <selection activeCell="E21" sqref="E21"/>
    </sheetView>
  </sheetViews>
  <sheetFormatPr defaultColWidth="8.88671875" defaultRowHeight="14.4" x14ac:dyDescent="0.3"/>
  <cols>
    <col min="1" max="1" width="13" style="302" customWidth="1"/>
    <col min="2" max="2" width="11.109375" style="302" bestFit="1" customWidth="1"/>
    <col min="3" max="3" width="8.88671875" style="302"/>
    <col min="4" max="4" width="14.109375" style="302" customWidth="1"/>
    <col min="5" max="6" width="8.88671875" style="302"/>
    <col min="7" max="7" width="9.33203125" style="302" customWidth="1"/>
    <col min="8" max="8" width="8.88671875" style="302"/>
    <col min="9" max="9" width="14.33203125" style="302" customWidth="1"/>
    <col min="10" max="10" width="11.109375" style="309" bestFit="1" customWidth="1"/>
    <col min="11" max="11" width="8.88671875" style="302"/>
    <col min="12" max="12" width="13.33203125" style="302" customWidth="1"/>
    <col min="13" max="13" width="8.88671875" style="302"/>
    <col min="14" max="14" width="10" style="302" customWidth="1"/>
    <col min="15" max="16384" width="8.88671875" style="302"/>
  </cols>
  <sheetData>
    <row r="1" spans="1:25" ht="15" thickBot="1" x14ac:dyDescent="0.35">
      <c r="A1" s="401" t="s">
        <v>59</v>
      </c>
      <c r="B1" s="402" t="s">
        <v>61</v>
      </c>
      <c r="C1" s="403" t="s">
        <v>60</v>
      </c>
      <c r="D1" s="408" t="s">
        <v>13</v>
      </c>
      <c r="F1" s="279" t="s">
        <v>55</v>
      </c>
      <c r="G1" s="504"/>
      <c r="I1" s="464" t="s">
        <v>71</v>
      </c>
      <c r="J1" s="489" t="s">
        <v>61</v>
      </c>
      <c r="K1" s="468" t="s">
        <v>60</v>
      </c>
      <c r="L1" s="469" t="s">
        <v>13</v>
      </c>
      <c r="N1" s="279" t="s">
        <v>55</v>
      </c>
      <c r="R1" s="412"/>
      <c r="S1" s="318" t="s">
        <v>15</v>
      </c>
      <c r="T1" s="318" t="s">
        <v>65</v>
      </c>
      <c r="U1" s="318" t="s">
        <v>62</v>
      </c>
      <c r="V1" s="318" t="s">
        <v>63</v>
      </c>
      <c r="W1" s="318" t="s">
        <v>45</v>
      </c>
      <c r="X1" s="318" t="s">
        <v>64</v>
      </c>
      <c r="Y1" s="318" t="s">
        <v>66</v>
      </c>
    </row>
    <row r="2" spans="1:25" ht="15" thickBot="1" x14ac:dyDescent="0.35">
      <c r="A2" s="306" t="s">
        <v>38</v>
      </c>
      <c r="B2" s="389">
        <f>SEM3_E!B2</f>
        <v>0</v>
      </c>
      <c r="C2" s="407">
        <v>12</v>
      </c>
      <c r="D2" s="390">
        <f>B2/C2</f>
        <v>0</v>
      </c>
      <c r="E2" s="422"/>
      <c r="F2" s="277">
        <f>SUM(F5:F40)</f>
        <v>0</v>
      </c>
      <c r="G2" s="504"/>
      <c r="I2" s="465" t="s">
        <v>72</v>
      </c>
      <c r="J2" s="542">
        <f>SEM3_R!B2</f>
        <v>0</v>
      </c>
      <c r="K2" s="416">
        <v>10</v>
      </c>
      <c r="L2" s="426">
        <f>J2/K2</f>
        <v>0</v>
      </c>
      <c r="N2" s="277">
        <f>SUM(N4:N42)</f>
        <v>0</v>
      </c>
      <c r="R2" s="412"/>
      <c r="S2" s="318">
        <v>1</v>
      </c>
      <c r="T2" s="318">
        <v>1</v>
      </c>
      <c r="U2" s="318">
        <v>1</v>
      </c>
      <c r="V2" s="318">
        <v>1</v>
      </c>
      <c r="W2" s="318">
        <v>1</v>
      </c>
      <c r="X2" s="318">
        <v>1</v>
      </c>
      <c r="Y2" s="318">
        <v>1</v>
      </c>
    </row>
    <row r="3" spans="1:25" ht="15" thickBot="1" x14ac:dyDescent="0.35">
      <c r="A3" s="307" t="s">
        <v>48</v>
      </c>
      <c r="B3" s="394"/>
      <c r="C3" s="395">
        <v>50</v>
      </c>
      <c r="D3" s="396">
        <f>B3/C3</f>
        <v>0</v>
      </c>
      <c r="F3" s="316"/>
      <c r="G3" s="504"/>
      <c r="I3" s="466" t="s">
        <v>48</v>
      </c>
      <c r="J3" s="490"/>
      <c r="K3" s="417">
        <v>40</v>
      </c>
      <c r="L3" s="413">
        <f>J3/K3</f>
        <v>0</v>
      </c>
      <c r="M3" s="420" t="s">
        <v>23</v>
      </c>
      <c r="N3" s="280" t="s">
        <v>50</v>
      </c>
      <c r="R3" s="412"/>
      <c r="S3" s="318">
        <v>2</v>
      </c>
      <c r="T3" s="318">
        <f>IF($B5 &gt;= 50, 1, 0)</f>
        <v>0</v>
      </c>
      <c r="U3" s="318">
        <f>IF($B$14 &gt;= 50, 1, 0)</f>
        <v>0</v>
      </c>
      <c r="V3" s="318">
        <f>IF($B$22 &gt;= 50, 1, 0)</f>
        <v>0</v>
      </c>
      <c r="W3" s="318">
        <f>IF($B$29 &gt;= 45, 1,)</f>
        <v>0</v>
      </c>
      <c r="X3" s="318">
        <f>IF($B$37 &gt;= 50, 1,)</f>
        <v>0</v>
      </c>
      <c r="Y3" s="318">
        <f>IF($B$45 &gt;= 50, 1,)</f>
        <v>0</v>
      </c>
    </row>
    <row r="4" spans="1:25" ht="15" thickBot="1" x14ac:dyDescent="0.35">
      <c r="A4" s="307" t="s">
        <v>49</v>
      </c>
      <c r="B4" s="391"/>
      <c r="C4" s="392">
        <v>38</v>
      </c>
      <c r="D4" s="393">
        <f>B4/C4</f>
        <v>0</v>
      </c>
      <c r="E4" s="405" t="s">
        <v>23</v>
      </c>
      <c r="F4" s="280" t="s">
        <v>50</v>
      </c>
      <c r="G4" s="504"/>
      <c r="I4" s="467" t="s">
        <v>54</v>
      </c>
      <c r="J4" s="538">
        <f>SUM(J2:J3)</f>
        <v>0</v>
      </c>
      <c r="K4" s="539">
        <f>SUM(K2:K3)</f>
        <v>50</v>
      </c>
      <c r="L4" s="540">
        <f>J4/K4</f>
        <v>0</v>
      </c>
      <c r="M4" s="541">
        <f>T7</f>
        <v>1</v>
      </c>
      <c r="N4" s="276">
        <f>IF($M$4 &gt;1, 6, 0)</f>
        <v>0</v>
      </c>
      <c r="R4" s="412"/>
      <c r="S4" s="318">
        <v>3</v>
      </c>
      <c r="T4" s="318">
        <f>IF($B$5 &gt;= 62, 1, 0)</f>
        <v>0</v>
      </c>
      <c r="U4" s="318">
        <f>IF($B$14 &gt;= 62, 1, 0)</f>
        <v>0</v>
      </c>
      <c r="V4" s="318">
        <f>IF($B$22 &gt;= 60, 1, )</f>
        <v>0</v>
      </c>
      <c r="W4" s="318">
        <f>IF($B$29 &gt;= 55, 1, )</f>
        <v>0</v>
      </c>
      <c r="X4" s="318">
        <f>IF($B$37 &gt;= 63, 1,)</f>
        <v>0</v>
      </c>
      <c r="Y4" s="318">
        <f>IF($B$45 &gt;= 60, 1,)</f>
        <v>0</v>
      </c>
    </row>
    <row r="5" spans="1:25" ht="15" thickBot="1" x14ac:dyDescent="0.35">
      <c r="A5" s="308" t="s">
        <v>8</v>
      </c>
      <c r="B5" s="397">
        <f>SUM(B2:B4)</f>
        <v>0</v>
      </c>
      <c r="C5" s="398">
        <v>100</v>
      </c>
      <c r="D5" s="399">
        <f>B5/C5</f>
        <v>0</v>
      </c>
      <c r="E5" s="400">
        <f>T7</f>
        <v>1</v>
      </c>
      <c r="F5" s="276">
        <f>IF($E$5 &gt;1, 6, 0)</f>
        <v>0</v>
      </c>
      <c r="G5" s="504"/>
      <c r="R5" s="412"/>
      <c r="S5" s="318">
        <v>4</v>
      </c>
      <c r="T5" s="318">
        <f>IF($B$5 &gt;= 75, 1, 0)</f>
        <v>0</v>
      </c>
      <c r="U5" s="318">
        <f>IF($B$14 &gt;= 75, 1, 0)</f>
        <v>0</v>
      </c>
      <c r="V5" s="318">
        <f>IF($B$22 &gt;= 70, 1, 0)</f>
        <v>0</v>
      </c>
      <c r="W5" s="318">
        <f>IF($B$29 &gt;= 70, 1, )</f>
        <v>0</v>
      </c>
      <c r="X5" s="318">
        <f>IF($B$37 &gt;= 76, 1,)</f>
        <v>0</v>
      </c>
      <c r="Y5" s="318">
        <f>IF($B$45 &gt;= 72, 1,)</f>
        <v>0</v>
      </c>
    </row>
    <row r="6" spans="1:25" ht="15" thickBot="1" x14ac:dyDescent="0.35">
      <c r="A6" s="309"/>
      <c r="B6" s="338"/>
      <c r="C6" s="338"/>
      <c r="D6" s="338"/>
      <c r="G6" s="504"/>
      <c r="I6" s="338"/>
      <c r="L6" s="411"/>
      <c r="R6" s="412"/>
      <c r="S6" s="318">
        <v>5</v>
      </c>
      <c r="T6" s="318">
        <f>IF($B$5 &gt;= 87, 1, 0)</f>
        <v>0</v>
      </c>
      <c r="U6" s="318">
        <f>IF($B$14 &gt;= 90, 1, 0)</f>
        <v>0</v>
      </c>
      <c r="V6" s="318">
        <f>IF($B$22 &gt;= 85, 1, 0)</f>
        <v>0</v>
      </c>
      <c r="W6" s="318">
        <f>IF($B$29 &gt;= 85, 1, 0)</f>
        <v>0</v>
      </c>
      <c r="X6" s="318">
        <f>IF($B$37 &gt;= 89, 1,)</f>
        <v>0</v>
      </c>
      <c r="Y6" s="318">
        <f>IF($B$45 &gt;= 85, 1,)</f>
        <v>0</v>
      </c>
    </row>
    <row r="7" spans="1:25" ht="15" thickBot="1" x14ac:dyDescent="0.35">
      <c r="A7" s="309"/>
      <c r="B7" s="338"/>
      <c r="C7" s="338"/>
      <c r="D7" s="338"/>
      <c r="G7" s="504"/>
      <c r="I7" s="508" t="s">
        <v>74</v>
      </c>
      <c r="J7" s="491" t="s">
        <v>61</v>
      </c>
      <c r="K7" s="478" t="s">
        <v>60</v>
      </c>
      <c r="L7" s="479" t="s">
        <v>13</v>
      </c>
      <c r="R7" s="412"/>
      <c r="S7" s="318" t="s">
        <v>17</v>
      </c>
      <c r="T7" s="318">
        <f>SUM(T2:T6)</f>
        <v>1</v>
      </c>
      <c r="U7" s="318">
        <f t="shared" ref="U7:W7" si="0">SUM(U2:U6)</f>
        <v>1</v>
      </c>
      <c r="V7" s="318">
        <f t="shared" si="0"/>
        <v>1</v>
      </c>
      <c r="W7" s="318">
        <f t="shared" si="0"/>
        <v>1</v>
      </c>
      <c r="X7" s="318">
        <f>SUM(X2:X6)</f>
        <v>1</v>
      </c>
      <c r="Y7" s="318">
        <f>SUM(Y2:Y6)</f>
        <v>1</v>
      </c>
    </row>
    <row r="8" spans="1:25" ht="15" thickBot="1" x14ac:dyDescent="0.35">
      <c r="A8" s="310" t="s">
        <v>58</v>
      </c>
      <c r="B8" s="339" t="s">
        <v>61</v>
      </c>
      <c r="C8" s="339" t="s">
        <v>60</v>
      </c>
      <c r="D8" s="339" t="s">
        <v>13</v>
      </c>
      <c r="G8" s="504"/>
      <c r="H8" s="512"/>
      <c r="I8" s="509" t="s">
        <v>38</v>
      </c>
      <c r="J8" s="500">
        <f>SEM3_R!B9</f>
        <v>0</v>
      </c>
      <c r="K8" s="440">
        <v>15</v>
      </c>
      <c r="L8" s="470">
        <f>J8/K8</f>
        <v>0</v>
      </c>
      <c r="N8" s="315"/>
      <c r="R8" s="412"/>
      <c r="S8" s="412"/>
      <c r="T8" s="412"/>
      <c r="U8" s="412"/>
      <c r="V8" s="412"/>
      <c r="W8" s="412"/>
      <c r="X8" s="412"/>
      <c r="Y8" s="412"/>
    </row>
    <row r="9" spans="1:25" ht="15" thickBot="1" x14ac:dyDescent="0.35">
      <c r="A9" s="311" t="s">
        <v>38</v>
      </c>
      <c r="B9" s="543">
        <f>SEM3_E!B9</f>
        <v>0</v>
      </c>
      <c r="C9" s="340">
        <v>15</v>
      </c>
      <c r="D9" s="304">
        <f>B9/C9</f>
        <v>0</v>
      </c>
      <c r="F9" s="315"/>
      <c r="G9" s="504"/>
      <c r="H9" s="512"/>
      <c r="I9" s="510" t="s">
        <v>4</v>
      </c>
      <c r="J9" s="501"/>
      <c r="K9" s="425">
        <v>40</v>
      </c>
      <c r="L9" s="473">
        <f t="shared" ref="L9:L10" si="1">J9/K9</f>
        <v>0</v>
      </c>
      <c r="M9" s="441"/>
      <c r="N9" s="315"/>
      <c r="R9" s="412"/>
      <c r="S9" s="412"/>
      <c r="T9" s="412"/>
      <c r="U9" s="412"/>
      <c r="V9" s="412"/>
      <c r="W9" s="412"/>
      <c r="X9" s="412"/>
      <c r="Y9" s="412"/>
    </row>
    <row r="10" spans="1:25" x14ac:dyDescent="0.3">
      <c r="A10" s="312" t="s">
        <v>39</v>
      </c>
      <c r="B10" s="574">
        <f>SEM3_E!B10</f>
        <v>0</v>
      </c>
      <c r="C10" s="575">
        <v>8</v>
      </c>
      <c r="D10" s="576">
        <f t="shared" ref="D10:D11" si="2">B10/C10</f>
        <v>0</v>
      </c>
      <c r="F10" s="315"/>
      <c r="G10" s="504"/>
      <c r="H10" s="512"/>
      <c r="I10" s="510" t="s">
        <v>5</v>
      </c>
      <c r="J10" s="502"/>
      <c r="K10" s="424">
        <v>45</v>
      </c>
      <c r="L10" s="471">
        <f t="shared" si="1"/>
        <v>0</v>
      </c>
      <c r="M10" s="480" t="s">
        <v>23</v>
      </c>
      <c r="N10" s="280" t="s">
        <v>50</v>
      </c>
      <c r="R10" s="412"/>
      <c r="S10" s="412"/>
      <c r="T10" s="412"/>
      <c r="U10" s="412"/>
      <c r="V10" s="412"/>
      <c r="W10" s="412"/>
      <c r="X10" s="412"/>
      <c r="Y10" s="412"/>
    </row>
    <row r="11" spans="1:25" ht="15" thickBot="1" x14ac:dyDescent="0.35">
      <c r="A11" s="312" t="s">
        <v>67</v>
      </c>
      <c r="B11" s="341">
        <f>SEM3_E!B11</f>
        <v>0</v>
      </c>
      <c r="C11" s="342">
        <v>2</v>
      </c>
      <c r="D11" s="409">
        <f t="shared" si="2"/>
        <v>0</v>
      </c>
      <c r="F11" s="315"/>
      <c r="G11" s="504"/>
      <c r="H11" s="512"/>
      <c r="I11" s="511" t="s">
        <v>21</v>
      </c>
      <c r="J11" s="503">
        <f>SUM(J8:J10)</f>
        <v>0</v>
      </c>
      <c r="K11" s="442">
        <f>SUM(K8:K10)</f>
        <v>100</v>
      </c>
      <c r="L11" s="472">
        <f>J11/K11</f>
        <v>0</v>
      </c>
      <c r="M11" s="423">
        <f>T7</f>
        <v>1</v>
      </c>
      <c r="N11" s="276">
        <f>IF(M11 &gt;1, 6, 0)</f>
        <v>0</v>
      </c>
      <c r="R11" s="412"/>
      <c r="S11" s="536" t="s">
        <v>73</v>
      </c>
      <c r="T11" s="536" t="s">
        <v>75</v>
      </c>
      <c r="U11" s="536" t="s">
        <v>74</v>
      </c>
      <c r="V11" s="536" t="s">
        <v>76</v>
      </c>
      <c r="W11" s="536" t="s">
        <v>77</v>
      </c>
      <c r="X11" s="536" t="s">
        <v>78</v>
      </c>
      <c r="Y11" s="318" t="s">
        <v>66</v>
      </c>
    </row>
    <row r="12" spans="1:25" ht="15" thickBot="1" x14ac:dyDescent="0.35">
      <c r="A12" s="312" t="s">
        <v>48</v>
      </c>
      <c r="B12" s="577"/>
      <c r="C12" s="575">
        <v>40</v>
      </c>
      <c r="D12" s="578">
        <f>B12/C12</f>
        <v>0</v>
      </c>
      <c r="E12" s="404" t="s">
        <v>23</v>
      </c>
      <c r="F12" s="280" t="s">
        <v>50</v>
      </c>
      <c r="G12" s="504"/>
      <c r="R12" s="412"/>
      <c r="S12" s="536">
        <v>1</v>
      </c>
      <c r="T12" s="318">
        <v>1</v>
      </c>
      <c r="U12" s="318">
        <v>1</v>
      </c>
      <c r="V12" s="318">
        <v>1</v>
      </c>
      <c r="W12" s="318">
        <v>1</v>
      </c>
      <c r="X12" s="318">
        <v>1</v>
      </c>
      <c r="Y12" s="318">
        <v>1</v>
      </c>
    </row>
    <row r="13" spans="1:25" ht="15" thickBot="1" x14ac:dyDescent="0.35">
      <c r="A13" s="313" t="s">
        <v>8</v>
      </c>
      <c r="B13" s="568">
        <f>SUM(B9:B12)</f>
        <v>0</v>
      </c>
      <c r="C13" s="343">
        <f>SUM(C9:C12)</f>
        <v>65</v>
      </c>
      <c r="D13" s="410">
        <f>B13/C13</f>
        <v>0</v>
      </c>
      <c r="E13" s="314">
        <f>U7</f>
        <v>1</v>
      </c>
      <c r="F13" s="276">
        <f>IF($E$13 &gt;1, 5, 0)</f>
        <v>0</v>
      </c>
      <c r="G13" s="504"/>
      <c r="I13" s="338"/>
      <c r="L13" s="411"/>
      <c r="R13" s="412"/>
      <c r="S13" s="536">
        <v>2</v>
      </c>
      <c r="T13" s="318">
        <f>IF($J4 &gt;= 45, 1, 0)</f>
        <v>0</v>
      </c>
      <c r="U13" s="318">
        <f>IF($J$11 &gt;= 50, 1, 0)</f>
        <v>0</v>
      </c>
      <c r="V13" s="318">
        <f>IF($J$17 &gt;= 50, 1, 0)</f>
        <v>0</v>
      </c>
      <c r="W13" s="318">
        <f>IF($J$24 &gt;= 45, 1,)</f>
        <v>0</v>
      </c>
      <c r="X13" s="318">
        <f>IF($J$29 &gt;= 40, 1,)</f>
        <v>0</v>
      </c>
      <c r="Y13" s="318">
        <f>IF($J$37 &gt;= 50, 1,)</f>
        <v>0</v>
      </c>
    </row>
    <row r="14" spans="1:25" ht="15" thickBot="1" x14ac:dyDescent="0.35">
      <c r="A14" s="309"/>
      <c r="B14" s="338"/>
      <c r="C14" s="338"/>
      <c r="D14" s="338"/>
      <c r="G14" s="504"/>
      <c r="H14" s="512"/>
      <c r="I14" s="513" t="s">
        <v>76</v>
      </c>
      <c r="J14" s="485" t="s">
        <v>61</v>
      </c>
      <c r="K14" s="486" t="s">
        <v>60</v>
      </c>
      <c r="L14" s="487" t="s">
        <v>13</v>
      </c>
      <c r="M14" s="309"/>
      <c r="R14" s="412"/>
      <c r="S14" s="536">
        <v>3</v>
      </c>
      <c r="T14" s="318">
        <f>IF($J$4 &gt;= 55, 1, 0)</f>
        <v>0</v>
      </c>
      <c r="U14" s="318">
        <f>IF($J$11 &gt;= 62.5, 1, 0)</f>
        <v>0</v>
      </c>
      <c r="V14" s="318">
        <f>IF($J$17 &gt;= 65, 1, 0)</f>
        <v>0</v>
      </c>
      <c r="W14" s="318">
        <f>IF($J$24 &gt;= 50, 1,)</f>
        <v>0</v>
      </c>
      <c r="X14" s="318">
        <f>IF($J$29 &gt;= 55, 1,)</f>
        <v>0</v>
      </c>
      <c r="Y14" s="318">
        <f>IF($J$37 &gt;= 60, 1,)</f>
        <v>0</v>
      </c>
    </row>
    <row r="15" spans="1:25" ht="15" thickBot="1" x14ac:dyDescent="0.35">
      <c r="A15" s="309"/>
      <c r="B15" s="338"/>
      <c r="C15" s="338"/>
      <c r="D15" s="338"/>
      <c r="G15" s="504"/>
      <c r="H15" s="512"/>
      <c r="I15" s="514" t="s">
        <v>38</v>
      </c>
      <c r="J15" s="437">
        <f>SEM3_R!B16</f>
        <v>0</v>
      </c>
      <c r="K15" s="438">
        <v>15</v>
      </c>
      <c r="L15" s="439">
        <f>J15/K15</f>
        <v>0</v>
      </c>
      <c r="M15" s="309"/>
      <c r="R15" s="412"/>
      <c r="S15" s="536">
        <v>4</v>
      </c>
      <c r="T15" s="318">
        <f>IF($J$4 &gt;= 70, 1, 0)</f>
        <v>0</v>
      </c>
      <c r="U15" s="318">
        <f>IF($J$11 &gt;= 75, 1, 0)</f>
        <v>0</v>
      </c>
      <c r="V15" s="318">
        <f>IF($B$5 &gt;= 80, 1, 0)</f>
        <v>0</v>
      </c>
      <c r="W15" s="318">
        <f>IF($J$24 &gt;= 70, 1,)</f>
        <v>0</v>
      </c>
      <c r="X15" s="318">
        <f>IF($J$29 &gt;= 70, 1,)</f>
        <v>0</v>
      </c>
      <c r="Y15" s="318">
        <f>IF($J$37 &gt;= 72, 1,)</f>
        <v>0</v>
      </c>
    </row>
    <row r="16" spans="1:25" ht="15" thickBot="1" x14ac:dyDescent="0.35">
      <c r="A16" s="321" t="s">
        <v>32</v>
      </c>
      <c r="B16" s="322" t="s">
        <v>6</v>
      </c>
      <c r="C16" s="323" t="s">
        <v>60</v>
      </c>
      <c r="D16" s="324" t="s">
        <v>13</v>
      </c>
      <c r="F16" s="315"/>
      <c r="G16" s="504"/>
      <c r="H16" s="512"/>
      <c r="I16" s="515" t="s">
        <v>48</v>
      </c>
      <c r="J16" s="434"/>
      <c r="K16" s="320">
        <v>45</v>
      </c>
      <c r="L16" s="430">
        <f>J16/K16</f>
        <v>0</v>
      </c>
      <c r="M16" s="488" t="s">
        <v>23</v>
      </c>
      <c r="N16" s="280" t="s">
        <v>50</v>
      </c>
      <c r="R16" s="412"/>
      <c r="S16" s="536">
        <v>5</v>
      </c>
      <c r="T16" s="318">
        <f>IF($J$4 &gt;= 85, 1, 0)</f>
        <v>0</v>
      </c>
      <c r="U16" s="318">
        <f>IF($J$11 &gt;= 87.5, 1, 0)</f>
        <v>0</v>
      </c>
      <c r="V16" s="318">
        <f>IF($J$17 &gt;= 90, 1, 0)</f>
        <v>0</v>
      </c>
      <c r="W16" s="318">
        <f>IF($J$24 &gt;= 85, 1,)</f>
        <v>0</v>
      </c>
      <c r="X16" s="318">
        <f>IF($J$29 &gt;= 85, 1,)</f>
        <v>0</v>
      </c>
      <c r="Y16" s="318">
        <f>IF($J$37 &gt;= 85, 1,)</f>
        <v>0</v>
      </c>
    </row>
    <row r="17" spans="1:25" ht="15" thickBot="1" x14ac:dyDescent="0.35">
      <c r="A17" s="325" t="s">
        <v>1</v>
      </c>
      <c r="B17" s="572">
        <f>SEM3_E!B18</f>
        <v>0</v>
      </c>
      <c r="C17" s="573">
        <v>10</v>
      </c>
      <c r="D17" s="331">
        <f>B17/C17</f>
        <v>0</v>
      </c>
      <c r="E17" s="328" t="s">
        <v>80</v>
      </c>
      <c r="F17" s="315"/>
      <c r="G17" s="504"/>
      <c r="H17" s="512"/>
      <c r="I17" s="516" t="s">
        <v>8</v>
      </c>
      <c r="J17" s="436">
        <f>SUM(J15:J16)</f>
        <v>0</v>
      </c>
      <c r="K17" s="237">
        <f>SUM(K15:K16)</f>
        <v>60</v>
      </c>
      <c r="L17" s="433">
        <f>J17/K17</f>
        <v>0</v>
      </c>
      <c r="M17" s="427">
        <f>U7</f>
        <v>1</v>
      </c>
      <c r="N17" s="276">
        <f>IF($E$18 &gt;1, 6, 0)</f>
        <v>0</v>
      </c>
      <c r="R17" s="412"/>
      <c r="S17" s="536" t="s">
        <v>17</v>
      </c>
      <c r="T17" s="318">
        <f t="shared" ref="T17:Y17" si="3">SUM(T12:T16)</f>
        <v>1</v>
      </c>
      <c r="U17" s="318">
        <f>SUM(U12:U16)</f>
        <v>1</v>
      </c>
      <c r="V17" s="318">
        <f t="shared" si="3"/>
        <v>1</v>
      </c>
      <c r="W17" s="318">
        <f t="shared" si="3"/>
        <v>1</v>
      </c>
      <c r="X17" s="318">
        <f t="shared" si="3"/>
        <v>1</v>
      </c>
      <c r="Y17" s="318">
        <f t="shared" si="3"/>
        <v>1</v>
      </c>
    </row>
    <row r="18" spans="1:25" ht="15" thickBot="1" x14ac:dyDescent="0.35">
      <c r="A18" s="329" t="s">
        <v>39</v>
      </c>
      <c r="B18" s="567">
        <f>SEM3_E!B19</f>
        <v>0</v>
      </c>
      <c r="C18" s="320">
        <v>10</v>
      </c>
      <c r="D18" s="331">
        <f>B18/C18</f>
        <v>0</v>
      </c>
      <c r="F18" s="315"/>
      <c r="G18" s="504"/>
      <c r="S18" s="506"/>
      <c r="T18" s="506"/>
      <c r="U18" s="506"/>
      <c r="V18" s="506"/>
      <c r="W18" s="506"/>
      <c r="X18" s="506"/>
      <c r="Y18" s="506"/>
    </row>
    <row r="19" spans="1:25" ht="15" thickBot="1" x14ac:dyDescent="0.35">
      <c r="A19" s="329" t="s">
        <v>48</v>
      </c>
      <c r="B19" s="330"/>
      <c r="C19" s="319">
        <v>40</v>
      </c>
      <c r="D19" s="331">
        <f>B19/C19</f>
        <v>0</v>
      </c>
      <c r="E19" s="333" t="s">
        <v>14</v>
      </c>
      <c r="F19" s="280" t="s">
        <v>50</v>
      </c>
      <c r="G19" s="504"/>
      <c r="I19" s="338"/>
      <c r="L19" s="411"/>
      <c r="N19" s="315"/>
      <c r="S19" s="506"/>
      <c r="T19" s="506"/>
      <c r="U19" s="506"/>
      <c r="V19" s="506"/>
      <c r="W19" s="506"/>
      <c r="X19" s="506"/>
      <c r="Y19" s="506"/>
    </row>
    <row r="20" spans="1:25" ht="15" thickBot="1" x14ac:dyDescent="0.35">
      <c r="A20" s="334" t="s">
        <v>8</v>
      </c>
      <c r="B20" s="566">
        <f>SUM(B17:B19)</f>
        <v>0</v>
      </c>
      <c r="C20" s="335">
        <v>100</v>
      </c>
      <c r="D20" s="336">
        <f>B20/C20</f>
        <v>0</v>
      </c>
      <c r="E20" s="337">
        <f>V7</f>
        <v>1</v>
      </c>
      <c r="F20" s="276">
        <f>IF($E$20 &gt;1, 6, 0)</f>
        <v>0</v>
      </c>
      <c r="G20" s="504"/>
      <c r="I20" s="517" t="s">
        <v>79</v>
      </c>
      <c r="J20" s="518" t="s">
        <v>61</v>
      </c>
      <c r="K20" s="519" t="s">
        <v>60</v>
      </c>
      <c r="L20" s="520" t="s">
        <v>13</v>
      </c>
    </row>
    <row r="21" spans="1:25" x14ac:dyDescent="0.3">
      <c r="G21" s="504"/>
      <c r="H21" s="512"/>
      <c r="I21" s="521" t="s">
        <v>38</v>
      </c>
      <c r="J21" s="492">
        <f>SEM3_R!B23</f>
        <v>0</v>
      </c>
      <c r="K21" s="407">
        <v>15</v>
      </c>
      <c r="L21" s="390">
        <f>J21/K21</f>
        <v>0</v>
      </c>
      <c r="M21" s="361"/>
      <c r="N21" s="315"/>
    </row>
    <row r="22" spans="1:25" ht="15" thickBot="1" x14ac:dyDescent="0.35">
      <c r="A22" s="309"/>
      <c r="B22" s="338"/>
      <c r="C22" s="338"/>
      <c r="D22" s="338"/>
      <c r="F22" s="315"/>
      <c r="G22" s="504"/>
      <c r="H22" s="512"/>
      <c r="I22" s="521" t="s">
        <v>39</v>
      </c>
      <c r="J22" s="492">
        <f>SEM3_R!B24</f>
        <v>0</v>
      </c>
      <c r="K22" s="492">
        <v>5</v>
      </c>
      <c r="L22" s="396">
        <f>J22/K22</f>
        <v>0</v>
      </c>
    </row>
    <row r="23" spans="1:25" ht="15" thickBot="1" x14ac:dyDescent="0.35">
      <c r="A23" s="189" t="s">
        <v>68</v>
      </c>
      <c r="B23" s="190" t="s">
        <v>6</v>
      </c>
      <c r="C23" s="191" t="s">
        <v>7</v>
      </c>
      <c r="D23" s="192" t="s">
        <v>13</v>
      </c>
      <c r="F23" s="315"/>
      <c r="G23" s="504"/>
      <c r="H23" s="512"/>
      <c r="I23" s="522" t="s">
        <v>48</v>
      </c>
      <c r="J23" s="493"/>
      <c r="K23" s="395">
        <v>40</v>
      </c>
      <c r="L23" s="396">
        <f>J23/K23</f>
        <v>0</v>
      </c>
      <c r="M23" s="405" t="s">
        <v>23</v>
      </c>
      <c r="N23" s="280" t="s">
        <v>50</v>
      </c>
    </row>
    <row r="24" spans="1:25" ht="15" thickBot="1" x14ac:dyDescent="0.35">
      <c r="A24" s="187" t="s">
        <v>48</v>
      </c>
      <c r="B24" s="298"/>
      <c r="C24" s="202">
        <v>100</v>
      </c>
      <c r="D24" s="203">
        <f>B24/C24</f>
        <v>0</v>
      </c>
      <c r="E24" s="193" t="s">
        <v>14</v>
      </c>
      <c r="F24" s="280" t="s">
        <v>50</v>
      </c>
      <c r="G24" s="504"/>
      <c r="H24" s="512"/>
      <c r="I24" s="523" t="s">
        <v>8</v>
      </c>
      <c r="J24" s="494">
        <f>SUM(J21:J23)</f>
        <v>0</v>
      </c>
      <c r="K24" s="443">
        <v>100</v>
      </c>
      <c r="L24" s="444">
        <f>J24/K24</f>
        <v>0</v>
      </c>
      <c r="M24" s="445">
        <f>V7</f>
        <v>1</v>
      </c>
      <c r="N24" s="276">
        <f>IF(M24 &gt;1, 6, 0)</f>
        <v>0</v>
      </c>
    </row>
    <row r="25" spans="1:25" ht="15" thickBot="1" x14ac:dyDescent="0.35">
      <c r="A25" s="188" t="s">
        <v>8</v>
      </c>
      <c r="B25" s="204">
        <f>B24</f>
        <v>0</v>
      </c>
      <c r="C25" s="205">
        <v>100</v>
      </c>
      <c r="D25" s="207">
        <f>B25/C25</f>
        <v>0</v>
      </c>
      <c r="E25" s="206">
        <f>W7</f>
        <v>1</v>
      </c>
      <c r="F25" s="276">
        <f>IF($E$25 &gt;1, 7, 0)</f>
        <v>0</v>
      </c>
      <c r="G25" s="504"/>
    </row>
    <row r="26" spans="1:25" ht="15" thickBot="1" x14ac:dyDescent="0.35">
      <c r="G26" s="504"/>
    </row>
    <row r="27" spans="1:25" ht="15" thickBot="1" x14ac:dyDescent="0.35">
      <c r="G27" s="504"/>
      <c r="H27" s="512"/>
      <c r="I27" s="524" t="s">
        <v>78</v>
      </c>
      <c r="J27" s="460" t="s">
        <v>61</v>
      </c>
      <c r="K27" s="461" t="s">
        <v>60</v>
      </c>
      <c r="L27" s="462" t="s">
        <v>13</v>
      </c>
      <c r="M27" s="317"/>
      <c r="N27" s="315"/>
    </row>
    <row r="28" spans="1:25" ht="15" thickBot="1" x14ac:dyDescent="0.35">
      <c r="A28" s="355" t="s">
        <v>69</v>
      </c>
      <c r="B28" s="350" t="s">
        <v>61</v>
      </c>
      <c r="C28" s="348" t="s">
        <v>60</v>
      </c>
      <c r="D28" s="349" t="s">
        <v>13</v>
      </c>
      <c r="F28" s="315"/>
      <c r="G28" s="504"/>
      <c r="H28" s="512"/>
      <c r="I28" s="525" t="s">
        <v>48</v>
      </c>
      <c r="J28" s="448"/>
      <c r="K28" s="449">
        <v>50</v>
      </c>
      <c r="L28" s="450">
        <f>J28/K28</f>
        <v>0</v>
      </c>
      <c r="M28" s="463" t="s">
        <v>23</v>
      </c>
      <c r="N28" s="280" t="s">
        <v>50</v>
      </c>
    </row>
    <row r="29" spans="1:25" ht="15" thickBot="1" x14ac:dyDescent="0.35">
      <c r="A29" s="356" t="s">
        <v>38</v>
      </c>
      <c r="B29" s="351">
        <f>SEM3_E!B33</f>
        <v>0</v>
      </c>
      <c r="C29" s="347">
        <v>20</v>
      </c>
      <c r="D29" s="359">
        <f>B29/C29</f>
        <v>0</v>
      </c>
      <c r="E29" s="361"/>
      <c r="G29" s="504"/>
      <c r="H29" s="512"/>
      <c r="I29" s="526" t="s">
        <v>8</v>
      </c>
      <c r="J29" s="453">
        <f>SUM(J28:J28)</f>
        <v>0</v>
      </c>
      <c r="K29" s="454">
        <f>SUM(K28:K28)</f>
        <v>50</v>
      </c>
      <c r="L29" s="455">
        <f t="shared" ref="L29" si="4">J29/K29</f>
        <v>0</v>
      </c>
      <c r="M29" s="456">
        <f>W7</f>
        <v>1</v>
      </c>
      <c r="N29" s="276">
        <f>IF($E$29 &gt;1, 4, 0)</f>
        <v>0</v>
      </c>
    </row>
    <row r="30" spans="1:25" ht="15" thickBot="1" x14ac:dyDescent="0.35">
      <c r="A30" s="357" t="s">
        <v>48</v>
      </c>
      <c r="B30" s="353"/>
      <c r="C30" s="344">
        <v>40</v>
      </c>
      <c r="D30" s="22">
        <f>B30/C30</f>
        <v>0</v>
      </c>
      <c r="E30" s="505"/>
      <c r="F30" s="315"/>
      <c r="G30" s="504"/>
      <c r="H30" s="527"/>
      <c r="I30" s="528"/>
    </row>
    <row r="31" spans="1:25" ht="15" thickBot="1" x14ac:dyDescent="0.35">
      <c r="A31" s="357" t="s">
        <v>49</v>
      </c>
      <c r="B31" s="352"/>
      <c r="C31" s="345">
        <v>40</v>
      </c>
      <c r="D31" s="17">
        <f>B31/C31</f>
        <v>0</v>
      </c>
      <c r="E31" s="507" t="s">
        <v>23</v>
      </c>
      <c r="F31" s="280" t="s">
        <v>50</v>
      </c>
      <c r="G31" s="504"/>
      <c r="H31" s="527"/>
    </row>
    <row r="32" spans="1:25" ht="15" thickBot="1" x14ac:dyDescent="0.35">
      <c r="A32" s="358" t="s">
        <v>8</v>
      </c>
      <c r="B32" s="354">
        <f>SUM(B28:B31)</f>
        <v>0</v>
      </c>
      <c r="C32" s="346">
        <f>SUM(C29:C31)</f>
        <v>100</v>
      </c>
      <c r="D32" s="360">
        <f>B32/C32</f>
        <v>0</v>
      </c>
      <c r="E32" s="110">
        <f>X7</f>
        <v>1</v>
      </c>
      <c r="F32" s="276">
        <f>IF($E$32 &gt;1, 4, 0)</f>
        <v>0</v>
      </c>
      <c r="G32" s="504"/>
      <c r="H32" s="527"/>
      <c r="I32" s="364" t="s">
        <v>70</v>
      </c>
      <c r="J32" s="495" t="s">
        <v>61</v>
      </c>
      <c r="K32" s="369" t="s">
        <v>60</v>
      </c>
      <c r="L32" s="368" t="s">
        <v>13</v>
      </c>
      <c r="M32" s="363"/>
    </row>
    <row r="33" spans="1:14" ht="15" thickBot="1" x14ac:dyDescent="0.35">
      <c r="G33" s="504"/>
      <c r="I33" s="370" t="s">
        <v>39</v>
      </c>
      <c r="J33" s="496">
        <f>SEM3_R!B37</f>
        <v>0</v>
      </c>
      <c r="K33" s="378">
        <v>20</v>
      </c>
      <c r="L33" s="379">
        <f>J33/K33</f>
        <v>0</v>
      </c>
      <c r="M33" s="363"/>
    </row>
    <row r="34" spans="1:14" ht="15" thickBot="1" x14ac:dyDescent="0.35">
      <c r="G34" s="504"/>
      <c r="I34" s="372" t="s">
        <v>27</v>
      </c>
      <c r="J34" s="496">
        <f>SEM3_R!B38</f>
        <v>0</v>
      </c>
      <c r="K34" s="381">
        <v>10</v>
      </c>
      <c r="L34" s="382">
        <f t="shared" ref="L34:L37" si="5">J34/K34</f>
        <v>0</v>
      </c>
      <c r="M34" s="363"/>
    </row>
    <row r="35" spans="1:14" ht="15" thickBot="1" x14ac:dyDescent="0.35">
      <c r="A35" s="364" t="s">
        <v>70</v>
      </c>
      <c r="B35" s="367" t="s">
        <v>61</v>
      </c>
      <c r="C35" s="369" t="s">
        <v>60</v>
      </c>
      <c r="D35" s="368" t="s">
        <v>13</v>
      </c>
      <c r="E35" s="363"/>
      <c r="G35" s="504"/>
      <c r="I35" s="373" t="s">
        <v>48</v>
      </c>
      <c r="J35" s="497"/>
      <c r="K35" s="385">
        <v>30</v>
      </c>
      <c r="L35" s="386">
        <f t="shared" si="5"/>
        <v>0</v>
      </c>
      <c r="M35" s="363"/>
    </row>
    <row r="36" spans="1:14" x14ac:dyDescent="0.3">
      <c r="A36" s="370" t="s">
        <v>39</v>
      </c>
      <c r="B36" s="537">
        <f>SEM3_E!B41</f>
        <v>0</v>
      </c>
      <c r="C36" s="378">
        <v>20</v>
      </c>
      <c r="D36" s="379">
        <f>B36/C36</f>
        <v>0</v>
      </c>
      <c r="E36" s="363"/>
      <c r="G36" s="504"/>
      <c r="I36" s="383" t="s">
        <v>49</v>
      </c>
      <c r="J36" s="498"/>
      <c r="K36" s="381">
        <v>40</v>
      </c>
      <c r="L36" s="388">
        <f t="shared" si="5"/>
        <v>0</v>
      </c>
      <c r="M36" s="406" t="s">
        <v>23</v>
      </c>
      <c r="N36" s="365" t="s">
        <v>50</v>
      </c>
    </row>
    <row r="37" spans="1:14" ht="15" thickBot="1" x14ac:dyDescent="0.35">
      <c r="A37" s="372" t="s">
        <v>27</v>
      </c>
      <c r="B37" s="380">
        <f>SEM3_E!B42</f>
        <v>0</v>
      </c>
      <c r="C37" s="381">
        <v>10</v>
      </c>
      <c r="D37" s="382">
        <f t="shared" ref="D37:D40" si="6">B37/C37</f>
        <v>0</v>
      </c>
      <c r="E37" s="363"/>
      <c r="G37" s="504"/>
      <c r="I37" s="371" t="s">
        <v>8</v>
      </c>
      <c r="J37" s="499">
        <f>SUM(J33:J36)</f>
        <v>0</v>
      </c>
      <c r="K37" s="375">
        <f>SUM(K33:K36)</f>
        <v>100</v>
      </c>
      <c r="L37" s="376">
        <f t="shared" si="5"/>
        <v>0</v>
      </c>
      <c r="M37" s="387">
        <f>X7</f>
        <v>1</v>
      </c>
      <c r="N37" s="366">
        <f>IF($E$36 &gt;1, 2, 0)</f>
        <v>0</v>
      </c>
    </row>
    <row r="38" spans="1:14" ht="15" thickBot="1" x14ac:dyDescent="0.35">
      <c r="A38" s="373" t="s">
        <v>48</v>
      </c>
      <c r="B38" s="384"/>
      <c r="C38" s="385">
        <v>30</v>
      </c>
      <c r="D38" s="386">
        <f t="shared" si="6"/>
        <v>0</v>
      </c>
      <c r="E38" s="363"/>
      <c r="G38" s="504"/>
    </row>
    <row r="39" spans="1:14" x14ac:dyDescent="0.3">
      <c r="A39" s="383" t="s">
        <v>49</v>
      </c>
      <c r="B39" s="381"/>
      <c r="C39" s="381">
        <v>40</v>
      </c>
      <c r="D39" s="388">
        <f t="shared" si="6"/>
        <v>0</v>
      </c>
      <c r="E39" s="406" t="s">
        <v>23</v>
      </c>
      <c r="F39" s="365" t="s">
        <v>50</v>
      </c>
      <c r="G39" s="504"/>
    </row>
    <row r="40" spans="1:14" ht="15" thickBot="1" x14ac:dyDescent="0.35">
      <c r="A40" s="371" t="s">
        <v>8</v>
      </c>
      <c r="B40" s="374">
        <f>SUM(B36:B39)</f>
        <v>0</v>
      </c>
      <c r="C40" s="375">
        <f>SUM(C36:C39)</f>
        <v>100</v>
      </c>
      <c r="D40" s="376">
        <f t="shared" si="6"/>
        <v>0</v>
      </c>
      <c r="E40" s="387">
        <f>Y7</f>
        <v>1</v>
      </c>
      <c r="F40" s="366">
        <f>IF($E$40 &gt;1, 2, 0)</f>
        <v>0</v>
      </c>
      <c r="G40" s="504"/>
    </row>
    <row r="41" spans="1:14" x14ac:dyDescent="0.3">
      <c r="G41" s="504"/>
    </row>
    <row r="42" spans="1:14" x14ac:dyDescent="0.3">
      <c r="G42" s="504"/>
    </row>
    <row r="43" spans="1:14" x14ac:dyDescent="0.3">
      <c r="G43" s="504"/>
    </row>
    <row r="44" spans="1:14" x14ac:dyDescent="0.3">
      <c r="G44" s="504"/>
    </row>
    <row r="45" spans="1:14" x14ac:dyDescent="0.3">
      <c r="G45" s="504"/>
    </row>
    <row r="46" spans="1:14" x14ac:dyDescent="0.3">
      <c r="G46" s="504"/>
    </row>
    <row r="47" spans="1:14" x14ac:dyDescent="0.3">
      <c r="G47" s="504"/>
    </row>
    <row r="48" spans="1:14" x14ac:dyDescent="0.3">
      <c r="G48" s="504"/>
    </row>
    <row r="49" spans="7:7" x14ac:dyDescent="0.3">
      <c r="G49" s="504"/>
    </row>
    <row r="50" spans="7:7" x14ac:dyDescent="0.3">
      <c r="G50" s="504"/>
    </row>
    <row r="51" spans="7:7" x14ac:dyDescent="0.3">
      <c r="G51" s="504"/>
    </row>
    <row r="52" spans="7:7" x14ac:dyDescent="0.3">
      <c r="G52" s="504"/>
    </row>
    <row r="53" spans="7:7" x14ac:dyDescent="0.3">
      <c r="G53" s="504"/>
    </row>
    <row r="54" spans="7:7" x14ac:dyDescent="0.3">
      <c r="G54" s="504"/>
    </row>
    <row r="55" spans="7:7" x14ac:dyDescent="0.3">
      <c r="G55" s="504"/>
    </row>
    <row r="56" spans="7:7" x14ac:dyDescent="0.3">
      <c r="G56" s="504"/>
    </row>
    <row r="57" spans="7:7" x14ac:dyDescent="0.3">
      <c r="G57" s="504"/>
    </row>
    <row r="58" spans="7:7" x14ac:dyDescent="0.3">
      <c r="G58" s="504"/>
    </row>
    <row r="59" spans="7:7" x14ac:dyDescent="0.3">
      <c r="G59" s="504"/>
    </row>
    <row r="60" spans="7:7" x14ac:dyDescent="0.3">
      <c r="G60" s="504"/>
    </row>
    <row r="61" spans="7:7" x14ac:dyDescent="0.3">
      <c r="G61" s="504"/>
    </row>
    <row r="62" spans="7:7" x14ac:dyDescent="0.3">
      <c r="G62" s="504"/>
    </row>
    <row r="63" spans="7:7" x14ac:dyDescent="0.3">
      <c r="G63" s="504"/>
    </row>
    <row r="64" spans="7:7" x14ac:dyDescent="0.3">
      <c r="G64" s="504"/>
    </row>
    <row r="65" spans="7:7" x14ac:dyDescent="0.3">
      <c r="G65" s="504"/>
    </row>
    <row r="66" spans="7:7" x14ac:dyDescent="0.3">
      <c r="G66" s="504"/>
    </row>
    <row r="67" spans="7:7" x14ac:dyDescent="0.3">
      <c r="G67" s="504"/>
    </row>
    <row r="68" spans="7:7" x14ac:dyDescent="0.3">
      <c r="G68" s="504"/>
    </row>
    <row r="69" spans="7:7" x14ac:dyDescent="0.3">
      <c r="G69" s="504"/>
    </row>
    <row r="70" spans="7:7" x14ac:dyDescent="0.3">
      <c r="G70" s="504"/>
    </row>
    <row r="71" spans="7:7" x14ac:dyDescent="0.3">
      <c r="G71" s="504"/>
    </row>
    <row r="72" spans="7:7" x14ac:dyDescent="0.3">
      <c r="G72" s="504"/>
    </row>
    <row r="73" spans="7:7" x14ac:dyDescent="0.3">
      <c r="G73" s="504"/>
    </row>
    <row r="74" spans="7:7" x14ac:dyDescent="0.3">
      <c r="G74" s="504"/>
    </row>
    <row r="75" spans="7:7" x14ac:dyDescent="0.3">
      <c r="G75" s="504"/>
    </row>
    <row r="76" spans="7:7" x14ac:dyDescent="0.3">
      <c r="G76" s="504"/>
    </row>
    <row r="77" spans="7:7" x14ac:dyDescent="0.3">
      <c r="G77" s="504"/>
    </row>
    <row r="78" spans="7:7" x14ac:dyDescent="0.3">
      <c r="G78" s="504"/>
    </row>
    <row r="79" spans="7:7" x14ac:dyDescent="0.3">
      <c r="G79" s="504"/>
    </row>
    <row r="80" spans="7:7" x14ac:dyDescent="0.3">
      <c r="G80" s="504"/>
    </row>
    <row r="81" spans="7:7" x14ac:dyDescent="0.3">
      <c r="G81" s="504"/>
    </row>
    <row r="82" spans="7:7" x14ac:dyDescent="0.3">
      <c r="G82" s="504"/>
    </row>
    <row r="83" spans="7:7" x14ac:dyDescent="0.3">
      <c r="G83" s="504"/>
    </row>
    <row r="84" spans="7:7" x14ac:dyDescent="0.3">
      <c r="G84" s="504"/>
    </row>
    <row r="85" spans="7:7" x14ac:dyDescent="0.3">
      <c r="G85" s="504"/>
    </row>
    <row r="86" spans="7:7" x14ac:dyDescent="0.3">
      <c r="G86" s="504"/>
    </row>
    <row r="87" spans="7:7" x14ac:dyDescent="0.3">
      <c r="G87" s="504"/>
    </row>
    <row r="88" spans="7:7" x14ac:dyDescent="0.3">
      <c r="G88" s="504"/>
    </row>
    <row r="89" spans="7:7" x14ac:dyDescent="0.3">
      <c r="G89" s="504"/>
    </row>
    <row r="90" spans="7:7" x14ac:dyDescent="0.3">
      <c r="G90" s="504"/>
    </row>
    <row r="91" spans="7:7" x14ac:dyDescent="0.3">
      <c r="G91" s="504"/>
    </row>
    <row r="92" spans="7:7" x14ac:dyDescent="0.3">
      <c r="G92" s="504"/>
    </row>
    <row r="93" spans="7:7" x14ac:dyDescent="0.3">
      <c r="G93" s="504"/>
    </row>
    <row r="94" spans="7:7" x14ac:dyDescent="0.3">
      <c r="G94" s="504"/>
    </row>
    <row r="95" spans="7:7" x14ac:dyDescent="0.3">
      <c r="G95" s="504"/>
    </row>
    <row r="96" spans="7:7" x14ac:dyDescent="0.3">
      <c r="G96" s="504"/>
    </row>
    <row r="97" spans="7:7" x14ac:dyDescent="0.3">
      <c r="G97" s="504"/>
    </row>
    <row r="98" spans="7:7" x14ac:dyDescent="0.3">
      <c r="G98" s="504"/>
    </row>
    <row r="99" spans="7:7" x14ac:dyDescent="0.3">
      <c r="G99" s="504"/>
    </row>
    <row r="100" spans="7:7" x14ac:dyDescent="0.3">
      <c r="G100" s="504"/>
    </row>
    <row r="101" spans="7:7" x14ac:dyDescent="0.3">
      <c r="G101" s="504"/>
    </row>
    <row r="102" spans="7:7" x14ac:dyDescent="0.3">
      <c r="G102" s="504"/>
    </row>
    <row r="103" spans="7:7" x14ac:dyDescent="0.3">
      <c r="G103" s="504"/>
    </row>
    <row r="104" spans="7:7" x14ac:dyDescent="0.3">
      <c r="G104" s="504"/>
    </row>
    <row r="105" spans="7:7" x14ac:dyDescent="0.3">
      <c r="G105" s="504"/>
    </row>
    <row r="106" spans="7:7" x14ac:dyDescent="0.3">
      <c r="G106" s="504"/>
    </row>
    <row r="107" spans="7:7" x14ac:dyDescent="0.3">
      <c r="G107" s="504"/>
    </row>
    <row r="108" spans="7:7" x14ac:dyDescent="0.3">
      <c r="G108" s="504"/>
    </row>
    <row r="109" spans="7:7" x14ac:dyDescent="0.3">
      <c r="G109" s="504"/>
    </row>
    <row r="110" spans="7:7" x14ac:dyDescent="0.3">
      <c r="G110" s="504"/>
    </row>
    <row r="111" spans="7:7" x14ac:dyDescent="0.3">
      <c r="G111" s="504"/>
    </row>
    <row r="112" spans="7:7" x14ac:dyDescent="0.3">
      <c r="G112" s="504"/>
    </row>
    <row r="113" spans="7:7" x14ac:dyDescent="0.3">
      <c r="G113" s="504"/>
    </row>
    <row r="114" spans="7:7" x14ac:dyDescent="0.3">
      <c r="G114" s="504"/>
    </row>
    <row r="115" spans="7:7" x14ac:dyDescent="0.3">
      <c r="G115" s="504"/>
    </row>
    <row r="116" spans="7:7" x14ac:dyDescent="0.3">
      <c r="G116" s="504"/>
    </row>
    <row r="117" spans="7:7" x14ac:dyDescent="0.3">
      <c r="G117" s="504"/>
    </row>
    <row r="118" spans="7:7" x14ac:dyDescent="0.3">
      <c r="G118" s="504"/>
    </row>
    <row r="119" spans="7:7" x14ac:dyDescent="0.3">
      <c r="G119" s="504"/>
    </row>
    <row r="120" spans="7:7" x14ac:dyDescent="0.3">
      <c r="G120" s="504"/>
    </row>
    <row r="121" spans="7:7" x14ac:dyDescent="0.3">
      <c r="G121" s="504"/>
    </row>
    <row r="122" spans="7:7" x14ac:dyDescent="0.3">
      <c r="G122" s="504"/>
    </row>
    <row r="123" spans="7:7" x14ac:dyDescent="0.3">
      <c r="G123" s="504"/>
    </row>
    <row r="124" spans="7:7" x14ac:dyDescent="0.3">
      <c r="G124" s="504"/>
    </row>
    <row r="125" spans="7:7" x14ac:dyDescent="0.3">
      <c r="G125" s="504"/>
    </row>
    <row r="126" spans="7:7" x14ac:dyDescent="0.3">
      <c r="G126" s="504"/>
    </row>
    <row r="127" spans="7:7" x14ac:dyDescent="0.3">
      <c r="G127" s="504"/>
    </row>
    <row r="128" spans="7:7" x14ac:dyDescent="0.3">
      <c r="G128" s="504"/>
    </row>
    <row r="129" spans="7:7" x14ac:dyDescent="0.3">
      <c r="G129" s="504"/>
    </row>
    <row r="130" spans="7:7" x14ac:dyDescent="0.3">
      <c r="G130" s="504"/>
    </row>
    <row r="131" spans="7:7" x14ac:dyDescent="0.3">
      <c r="G131" s="504"/>
    </row>
    <row r="132" spans="7:7" x14ac:dyDescent="0.3">
      <c r="G132" s="504"/>
    </row>
    <row r="133" spans="7:7" x14ac:dyDescent="0.3">
      <c r="G133" s="504"/>
    </row>
    <row r="134" spans="7:7" x14ac:dyDescent="0.3">
      <c r="G134" s="504"/>
    </row>
    <row r="135" spans="7:7" x14ac:dyDescent="0.3">
      <c r="G135" s="504"/>
    </row>
    <row r="136" spans="7:7" x14ac:dyDescent="0.3">
      <c r="G136" s="504"/>
    </row>
    <row r="137" spans="7:7" x14ac:dyDescent="0.3">
      <c r="G137" s="504"/>
    </row>
    <row r="138" spans="7:7" x14ac:dyDescent="0.3">
      <c r="G138" s="504"/>
    </row>
    <row r="139" spans="7:7" x14ac:dyDescent="0.3">
      <c r="G139" s="504"/>
    </row>
    <row r="140" spans="7:7" x14ac:dyDescent="0.3">
      <c r="G140" s="504"/>
    </row>
    <row r="141" spans="7:7" x14ac:dyDescent="0.3">
      <c r="G141" s="504"/>
    </row>
    <row r="142" spans="7:7" x14ac:dyDescent="0.3">
      <c r="G142" s="504"/>
    </row>
    <row r="143" spans="7:7" x14ac:dyDescent="0.3">
      <c r="G143" s="504"/>
    </row>
    <row r="144" spans="7:7" x14ac:dyDescent="0.3">
      <c r="G144" s="504"/>
    </row>
    <row r="145" spans="7:7" x14ac:dyDescent="0.3">
      <c r="G145" s="504"/>
    </row>
    <row r="146" spans="7:7" x14ac:dyDescent="0.3">
      <c r="G146" s="504"/>
    </row>
    <row r="147" spans="7:7" x14ac:dyDescent="0.3">
      <c r="G147" s="504"/>
    </row>
    <row r="148" spans="7:7" x14ac:dyDescent="0.3">
      <c r="G148" s="504"/>
    </row>
    <row r="149" spans="7:7" x14ac:dyDescent="0.3">
      <c r="G149" s="504"/>
    </row>
    <row r="150" spans="7:7" x14ac:dyDescent="0.3">
      <c r="G150" s="504"/>
    </row>
    <row r="151" spans="7:7" x14ac:dyDescent="0.3">
      <c r="G151" s="504"/>
    </row>
    <row r="152" spans="7:7" x14ac:dyDescent="0.3">
      <c r="G152" s="504"/>
    </row>
    <row r="153" spans="7:7" x14ac:dyDescent="0.3">
      <c r="G153" s="504"/>
    </row>
    <row r="154" spans="7:7" x14ac:dyDescent="0.3">
      <c r="G154" s="504"/>
    </row>
    <row r="155" spans="7:7" x14ac:dyDescent="0.3">
      <c r="G155" s="504"/>
    </row>
    <row r="156" spans="7:7" x14ac:dyDescent="0.3">
      <c r="G156" s="504"/>
    </row>
    <row r="157" spans="7:7" x14ac:dyDescent="0.3">
      <c r="G157" s="504"/>
    </row>
    <row r="158" spans="7:7" x14ac:dyDescent="0.3">
      <c r="G158" s="504"/>
    </row>
    <row r="159" spans="7:7" x14ac:dyDescent="0.3">
      <c r="G159" s="504"/>
    </row>
    <row r="160" spans="7:7" x14ac:dyDescent="0.3">
      <c r="G160" s="504"/>
    </row>
    <row r="161" spans="7:7" x14ac:dyDescent="0.3">
      <c r="G161" s="504"/>
    </row>
    <row r="162" spans="7:7" x14ac:dyDescent="0.3">
      <c r="G162" s="504"/>
    </row>
    <row r="163" spans="7:7" x14ac:dyDescent="0.3">
      <c r="G163" s="504"/>
    </row>
    <row r="164" spans="7:7" x14ac:dyDescent="0.3">
      <c r="G164" s="504"/>
    </row>
    <row r="165" spans="7:7" x14ac:dyDescent="0.3">
      <c r="G165" s="504"/>
    </row>
    <row r="166" spans="7:7" x14ac:dyDescent="0.3">
      <c r="G166" s="504"/>
    </row>
    <row r="167" spans="7:7" x14ac:dyDescent="0.3">
      <c r="G167" s="504"/>
    </row>
    <row r="168" spans="7:7" x14ac:dyDescent="0.3">
      <c r="G168" s="504"/>
    </row>
    <row r="169" spans="7:7" x14ac:dyDescent="0.3">
      <c r="G169" s="504"/>
    </row>
    <row r="170" spans="7:7" x14ac:dyDescent="0.3">
      <c r="G170" s="504"/>
    </row>
    <row r="171" spans="7:7" x14ac:dyDescent="0.3">
      <c r="G171" s="504"/>
    </row>
    <row r="172" spans="7:7" x14ac:dyDescent="0.3">
      <c r="G172" s="504"/>
    </row>
    <row r="173" spans="7:7" x14ac:dyDescent="0.3">
      <c r="G173" s="504"/>
    </row>
    <row r="174" spans="7:7" x14ac:dyDescent="0.3">
      <c r="G174" s="504"/>
    </row>
    <row r="175" spans="7:7" x14ac:dyDescent="0.3">
      <c r="G175" s="504"/>
    </row>
    <row r="176" spans="7:7" x14ac:dyDescent="0.3">
      <c r="G176" s="504"/>
    </row>
    <row r="177" spans="7:7" x14ac:dyDescent="0.3">
      <c r="G177" s="504"/>
    </row>
    <row r="178" spans="7:7" x14ac:dyDescent="0.3">
      <c r="G178" s="504"/>
    </row>
    <row r="179" spans="7:7" x14ac:dyDescent="0.3">
      <c r="G179" s="504"/>
    </row>
    <row r="180" spans="7:7" x14ac:dyDescent="0.3">
      <c r="G180" s="504"/>
    </row>
    <row r="181" spans="7:7" x14ac:dyDescent="0.3">
      <c r="G181" s="504"/>
    </row>
    <row r="182" spans="7:7" x14ac:dyDescent="0.3">
      <c r="G182" s="504"/>
    </row>
    <row r="183" spans="7:7" x14ac:dyDescent="0.3">
      <c r="G183" s="504"/>
    </row>
    <row r="184" spans="7:7" x14ac:dyDescent="0.3">
      <c r="G184" s="504"/>
    </row>
    <row r="185" spans="7:7" x14ac:dyDescent="0.3">
      <c r="G185" s="504"/>
    </row>
    <row r="186" spans="7:7" x14ac:dyDescent="0.3">
      <c r="G186" s="504"/>
    </row>
    <row r="187" spans="7:7" x14ac:dyDescent="0.3">
      <c r="G187" s="504"/>
    </row>
    <row r="188" spans="7:7" x14ac:dyDescent="0.3">
      <c r="G188" s="504"/>
    </row>
    <row r="189" spans="7:7" x14ac:dyDescent="0.3">
      <c r="G189" s="504"/>
    </row>
    <row r="190" spans="7:7" x14ac:dyDescent="0.3">
      <c r="G190" s="504"/>
    </row>
    <row r="191" spans="7:7" x14ac:dyDescent="0.3">
      <c r="G191" s="504"/>
    </row>
    <row r="192" spans="7:7" x14ac:dyDescent="0.3">
      <c r="G192" s="504"/>
    </row>
    <row r="193" spans="7:7" x14ac:dyDescent="0.3">
      <c r="G193" s="504"/>
    </row>
    <row r="194" spans="7:7" x14ac:dyDescent="0.3">
      <c r="G194" s="504"/>
    </row>
    <row r="195" spans="7:7" x14ac:dyDescent="0.3">
      <c r="G195" s="504"/>
    </row>
    <row r="196" spans="7:7" x14ac:dyDescent="0.3">
      <c r="G196" s="504"/>
    </row>
    <row r="197" spans="7:7" x14ac:dyDescent="0.3">
      <c r="G197" s="504"/>
    </row>
    <row r="198" spans="7:7" x14ac:dyDescent="0.3">
      <c r="G198" s="504"/>
    </row>
    <row r="199" spans="7:7" x14ac:dyDescent="0.3">
      <c r="G199" s="504"/>
    </row>
    <row r="200" spans="7:7" x14ac:dyDescent="0.3">
      <c r="G200" s="504"/>
    </row>
    <row r="201" spans="7:7" x14ac:dyDescent="0.3">
      <c r="G201" s="504"/>
    </row>
    <row r="202" spans="7:7" x14ac:dyDescent="0.3">
      <c r="G202" s="504"/>
    </row>
    <row r="203" spans="7:7" x14ac:dyDescent="0.3">
      <c r="G203" s="504"/>
    </row>
    <row r="204" spans="7:7" x14ac:dyDescent="0.3">
      <c r="G204" s="504"/>
    </row>
    <row r="205" spans="7:7" x14ac:dyDescent="0.3">
      <c r="G205" s="504"/>
    </row>
    <row r="206" spans="7:7" x14ac:dyDescent="0.3">
      <c r="G206" s="504"/>
    </row>
    <row r="207" spans="7:7" x14ac:dyDescent="0.3">
      <c r="G207" s="504"/>
    </row>
    <row r="208" spans="7:7" x14ac:dyDescent="0.3">
      <c r="G208" s="504"/>
    </row>
    <row r="209" spans="7:7" x14ac:dyDescent="0.3">
      <c r="G209" s="504"/>
    </row>
    <row r="210" spans="7:7" x14ac:dyDescent="0.3">
      <c r="G210" s="504"/>
    </row>
    <row r="211" spans="7:7" x14ac:dyDescent="0.3">
      <c r="G211" s="504"/>
    </row>
    <row r="212" spans="7:7" x14ac:dyDescent="0.3">
      <c r="G212" s="504"/>
    </row>
    <row r="213" spans="7:7" x14ac:dyDescent="0.3">
      <c r="G213" s="504"/>
    </row>
    <row r="214" spans="7:7" x14ac:dyDescent="0.3">
      <c r="G214" s="504"/>
    </row>
    <row r="215" spans="7:7" x14ac:dyDescent="0.3">
      <c r="G215" s="504"/>
    </row>
    <row r="216" spans="7:7" x14ac:dyDescent="0.3">
      <c r="G216" s="504"/>
    </row>
    <row r="217" spans="7:7" x14ac:dyDescent="0.3">
      <c r="G217" s="504"/>
    </row>
    <row r="218" spans="7:7" x14ac:dyDescent="0.3">
      <c r="G218" s="504"/>
    </row>
    <row r="219" spans="7:7" x14ac:dyDescent="0.3">
      <c r="G219" s="504"/>
    </row>
    <row r="220" spans="7:7" x14ac:dyDescent="0.3">
      <c r="G220" s="504"/>
    </row>
    <row r="221" spans="7:7" x14ac:dyDescent="0.3">
      <c r="G221" s="504"/>
    </row>
    <row r="222" spans="7:7" x14ac:dyDescent="0.3">
      <c r="G222" s="504"/>
    </row>
    <row r="223" spans="7:7" x14ac:dyDescent="0.3">
      <c r="G223" s="504"/>
    </row>
    <row r="224" spans="7:7" x14ac:dyDescent="0.3">
      <c r="G224" s="504"/>
    </row>
    <row r="225" spans="7:7" x14ac:dyDescent="0.3">
      <c r="G225" s="504"/>
    </row>
    <row r="226" spans="7:7" x14ac:dyDescent="0.3">
      <c r="G226" s="504"/>
    </row>
    <row r="227" spans="7:7" x14ac:dyDescent="0.3">
      <c r="G227" s="504"/>
    </row>
    <row r="228" spans="7:7" x14ac:dyDescent="0.3">
      <c r="G228" s="504"/>
    </row>
    <row r="229" spans="7:7" x14ac:dyDescent="0.3">
      <c r="G229" s="504"/>
    </row>
    <row r="230" spans="7:7" x14ac:dyDescent="0.3">
      <c r="G230" s="504"/>
    </row>
    <row r="231" spans="7:7" x14ac:dyDescent="0.3">
      <c r="G231" s="504"/>
    </row>
    <row r="232" spans="7:7" x14ac:dyDescent="0.3">
      <c r="G232" s="504"/>
    </row>
    <row r="233" spans="7:7" x14ac:dyDescent="0.3">
      <c r="G233" s="504"/>
    </row>
    <row r="234" spans="7:7" x14ac:dyDescent="0.3">
      <c r="G234" s="504"/>
    </row>
    <row r="235" spans="7:7" x14ac:dyDescent="0.3">
      <c r="G235" s="504"/>
    </row>
    <row r="236" spans="7:7" x14ac:dyDescent="0.3">
      <c r="G236" s="504"/>
    </row>
    <row r="237" spans="7:7" x14ac:dyDescent="0.3">
      <c r="G237" s="504"/>
    </row>
    <row r="238" spans="7:7" x14ac:dyDescent="0.3">
      <c r="G238" s="504"/>
    </row>
    <row r="239" spans="7:7" x14ac:dyDescent="0.3">
      <c r="G239" s="504"/>
    </row>
    <row r="240" spans="7:7" x14ac:dyDescent="0.3">
      <c r="G240" s="504"/>
    </row>
    <row r="241" spans="7:7" x14ac:dyDescent="0.3">
      <c r="G241" s="504"/>
    </row>
    <row r="242" spans="7:7" x14ac:dyDescent="0.3">
      <c r="G242" s="504"/>
    </row>
    <row r="243" spans="7:7" x14ac:dyDescent="0.3">
      <c r="G243" s="504"/>
    </row>
    <row r="244" spans="7:7" x14ac:dyDescent="0.3">
      <c r="G244" s="504"/>
    </row>
    <row r="245" spans="7:7" x14ac:dyDescent="0.3">
      <c r="G245" s="504"/>
    </row>
    <row r="246" spans="7:7" x14ac:dyDescent="0.3">
      <c r="G246" s="504"/>
    </row>
    <row r="247" spans="7:7" x14ac:dyDescent="0.3">
      <c r="G247" s="504"/>
    </row>
    <row r="248" spans="7:7" x14ac:dyDescent="0.3">
      <c r="G248" s="504"/>
    </row>
    <row r="249" spans="7:7" x14ac:dyDescent="0.3">
      <c r="G249" s="504"/>
    </row>
    <row r="250" spans="7:7" x14ac:dyDescent="0.3">
      <c r="G250" s="504"/>
    </row>
    <row r="251" spans="7:7" x14ac:dyDescent="0.3">
      <c r="G251" s="504"/>
    </row>
    <row r="252" spans="7:7" x14ac:dyDescent="0.3">
      <c r="G252" s="504"/>
    </row>
    <row r="253" spans="7:7" x14ac:dyDescent="0.3">
      <c r="G253" s="504"/>
    </row>
    <row r="254" spans="7:7" x14ac:dyDescent="0.3">
      <c r="G254" s="504"/>
    </row>
    <row r="255" spans="7:7" x14ac:dyDescent="0.3">
      <c r="G255" s="504"/>
    </row>
    <row r="256" spans="7:7" x14ac:dyDescent="0.3">
      <c r="G256" s="504"/>
    </row>
    <row r="257" spans="7:7" x14ac:dyDescent="0.3">
      <c r="G257" s="504"/>
    </row>
    <row r="258" spans="7:7" x14ac:dyDescent="0.3">
      <c r="G258" s="504"/>
    </row>
    <row r="259" spans="7:7" x14ac:dyDescent="0.3">
      <c r="G259" s="504"/>
    </row>
    <row r="260" spans="7:7" x14ac:dyDescent="0.3">
      <c r="G260" s="504"/>
    </row>
    <row r="261" spans="7:7" x14ac:dyDescent="0.3">
      <c r="G261" s="504"/>
    </row>
    <row r="262" spans="7:7" x14ac:dyDescent="0.3">
      <c r="G262" s="504"/>
    </row>
    <row r="263" spans="7:7" x14ac:dyDescent="0.3">
      <c r="G263" s="504"/>
    </row>
    <row r="264" spans="7:7" x14ac:dyDescent="0.3">
      <c r="G264" s="504"/>
    </row>
    <row r="265" spans="7:7" x14ac:dyDescent="0.3">
      <c r="G265" s="504"/>
    </row>
    <row r="266" spans="7:7" x14ac:dyDescent="0.3">
      <c r="G266" s="504"/>
    </row>
    <row r="267" spans="7:7" x14ac:dyDescent="0.3">
      <c r="G267" s="504"/>
    </row>
    <row r="268" spans="7:7" x14ac:dyDescent="0.3">
      <c r="G268" s="504"/>
    </row>
    <row r="269" spans="7:7" x14ac:dyDescent="0.3">
      <c r="G269" s="504"/>
    </row>
    <row r="270" spans="7:7" x14ac:dyDescent="0.3">
      <c r="G270" s="504"/>
    </row>
    <row r="271" spans="7:7" x14ac:dyDescent="0.3">
      <c r="G271" s="504"/>
    </row>
    <row r="272" spans="7:7" x14ac:dyDescent="0.3">
      <c r="G272" s="504"/>
    </row>
    <row r="273" spans="7:7" x14ac:dyDescent="0.3">
      <c r="G273" s="504"/>
    </row>
    <row r="274" spans="7:7" x14ac:dyDescent="0.3">
      <c r="G274" s="504"/>
    </row>
    <row r="275" spans="7:7" x14ac:dyDescent="0.3">
      <c r="G275" s="504"/>
    </row>
    <row r="276" spans="7:7" x14ac:dyDescent="0.3">
      <c r="G276" s="504"/>
    </row>
    <row r="277" spans="7:7" x14ac:dyDescent="0.3">
      <c r="G277" s="504"/>
    </row>
    <row r="278" spans="7:7" x14ac:dyDescent="0.3">
      <c r="G278" s="504"/>
    </row>
    <row r="279" spans="7:7" x14ac:dyDescent="0.3">
      <c r="G279" s="504"/>
    </row>
    <row r="280" spans="7:7" x14ac:dyDescent="0.3">
      <c r="G280" s="504"/>
    </row>
    <row r="281" spans="7:7" x14ac:dyDescent="0.3">
      <c r="G281" s="504"/>
    </row>
    <row r="282" spans="7:7" x14ac:dyDescent="0.3">
      <c r="G282" s="504"/>
    </row>
    <row r="283" spans="7:7" x14ac:dyDescent="0.3">
      <c r="G283" s="504"/>
    </row>
    <row r="284" spans="7:7" x14ac:dyDescent="0.3">
      <c r="G284" s="504"/>
    </row>
    <row r="285" spans="7:7" x14ac:dyDescent="0.3">
      <c r="G285" s="504"/>
    </row>
    <row r="286" spans="7:7" x14ac:dyDescent="0.3">
      <c r="G286" s="504"/>
    </row>
    <row r="287" spans="7:7" x14ac:dyDescent="0.3">
      <c r="G287" s="504"/>
    </row>
    <row r="288" spans="7:7" x14ac:dyDescent="0.3">
      <c r="G288" s="504"/>
    </row>
    <row r="289" spans="7:7" x14ac:dyDescent="0.3">
      <c r="G289" s="504"/>
    </row>
    <row r="290" spans="7:7" x14ac:dyDescent="0.3">
      <c r="G290" s="504"/>
    </row>
    <row r="291" spans="7:7" x14ac:dyDescent="0.3">
      <c r="G291" s="504"/>
    </row>
    <row r="292" spans="7:7" x14ac:dyDescent="0.3">
      <c r="G292" s="504"/>
    </row>
    <row r="293" spans="7:7" x14ac:dyDescent="0.3">
      <c r="G293" s="504"/>
    </row>
    <row r="294" spans="7:7" x14ac:dyDescent="0.3">
      <c r="G294" s="504"/>
    </row>
    <row r="295" spans="7:7" x14ac:dyDescent="0.3">
      <c r="G295" s="504"/>
    </row>
    <row r="296" spans="7:7" x14ac:dyDescent="0.3">
      <c r="G296" s="504"/>
    </row>
    <row r="297" spans="7:7" x14ac:dyDescent="0.3">
      <c r="G297" s="504"/>
    </row>
    <row r="298" spans="7:7" x14ac:dyDescent="0.3">
      <c r="G298" s="504"/>
    </row>
    <row r="299" spans="7:7" x14ac:dyDescent="0.3">
      <c r="G299" s="504"/>
    </row>
    <row r="300" spans="7:7" x14ac:dyDescent="0.3">
      <c r="G300" s="504"/>
    </row>
    <row r="301" spans="7:7" x14ac:dyDescent="0.3">
      <c r="G301" s="504"/>
    </row>
    <row r="302" spans="7:7" x14ac:dyDescent="0.3">
      <c r="G302" s="504"/>
    </row>
    <row r="303" spans="7:7" x14ac:dyDescent="0.3">
      <c r="G303" s="504"/>
    </row>
    <row r="304" spans="7:7" x14ac:dyDescent="0.3">
      <c r="G304" s="504"/>
    </row>
    <row r="305" spans="7:7" x14ac:dyDescent="0.3">
      <c r="G305" s="504"/>
    </row>
    <row r="306" spans="7:7" x14ac:dyDescent="0.3">
      <c r="G306" s="504"/>
    </row>
    <row r="307" spans="7:7" x14ac:dyDescent="0.3">
      <c r="G307" s="504"/>
    </row>
    <row r="308" spans="7:7" x14ac:dyDescent="0.3">
      <c r="G308" s="504"/>
    </row>
    <row r="309" spans="7:7" x14ac:dyDescent="0.3">
      <c r="G309" s="504"/>
    </row>
    <row r="310" spans="7:7" x14ac:dyDescent="0.3">
      <c r="G310" s="504"/>
    </row>
    <row r="311" spans="7:7" x14ac:dyDescent="0.3">
      <c r="G311" s="504"/>
    </row>
    <row r="312" spans="7:7" x14ac:dyDescent="0.3">
      <c r="G312" s="504"/>
    </row>
    <row r="313" spans="7:7" x14ac:dyDescent="0.3">
      <c r="G313" s="504"/>
    </row>
    <row r="314" spans="7:7" x14ac:dyDescent="0.3">
      <c r="G314" s="504"/>
    </row>
    <row r="315" spans="7:7" x14ac:dyDescent="0.3">
      <c r="G315" s="504"/>
    </row>
    <row r="316" spans="7:7" x14ac:dyDescent="0.3">
      <c r="G316" s="504"/>
    </row>
    <row r="317" spans="7:7" x14ac:dyDescent="0.3">
      <c r="G317" s="504"/>
    </row>
    <row r="318" spans="7:7" x14ac:dyDescent="0.3">
      <c r="G318" s="504"/>
    </row>
    <row r="319" spans="7:7" x14ac:dyDescent="0.3">
      <c r="G319" s="504"/>
    </row>
    <row r="320" spans="7:7" x14ac:dyDescent="0.3">
      <c r="G320" s="504"/>
    </row>
    <row r="321" spans="7:7" x14ac:dyDescent="0.3">
      <c r="G321" s="504"/>
    </row>
    <row r="322" spans="7:7" x14ac:dyDescent="0.3">
      <c r="G322" s="504"/>
    </row>
    <row r="323" spans="7:7" x14ac:dyDescent="0.3">
      <c r="G323" s="504"/>
    </row>
    <row r="324" spans="7:7" x14ac:dyDescent="0.3">
      <c r="G324" s="504"/>
    </row>
    <row r="325" spans="7:7" x14ac:dyDescent="0.3">
      <c r="G325" s="504"/>
    </row>
    <row r="326" spans="7:7" x14ac:dyDescent="0.3">
      <c r="G326" s="504"/>
    </row>
    <row r="327" spans="7:7" x14ac:dyDescent="0.3">
      <c r="G327" s="504"/>
    </row>
    <row r="328" spans="7:7" x14ac:dyDescent="0.3">
      <c r="G328" s="504"/>
    </row>
    <row r="329" spans="7:7" x14ac:dyDescent="0.3">
      <c r="G329" s="504"/>
    </row>
    <row r="330" spans="7:7" x14ac:dyDescent="0.3">
      <c r="G330" s="504"/>
    </row>
    <row r="331" spans="7:7" x14ac:dyDescent="0.3">
      <c r="G331" s="504"/>
    </row>
    <row r="332" spans="7:7" x14ac:dyDescent="0.3">
      <c r="G332" s="504"/>
    </row>
    <row r="333" spans="7:7" x14ac:dyDescent="0.3">
      <c r="G333" s="504"/>
    </row>
    <row r="334" spans="7:7" x14ac:dyDescent="0.3">
      <c r="G334" s="504"/>
    </row>
    <row r="335" spans="7:7" x14ac:dyDescent="0.3">
      <c r="G335" s="504"/>
    </row>
    <row r="336" spans="7:7" x14ac:dyDescent="0.3">
      <c r="G336" s="504"/>
    </row>
    <row r="337" spans="7:7" x14ac:dyDescent="0.3">
      <c r="G337" s="504"/>
    </row>
    <row r="338" spans="7:7" x14ac:dyDescent="0.3">
      <c r="G338" s="504"/>
    </row>
    <row r="339" spans="7:7" x14ac:dyDescent="0.3">
      <c r="G339" s="504"/>
    </row>
    <row r="340" spans="7:7" x14ac:dyDescent="0.3">
      <c r="G340" s="504"/>
    </row>
    <row r="341" spans="7:7" x14ac:dyDescent="0.3">
      <c r="G341" s="504"/>
    </row>
    <row r="342" spans="7:7" x14ac:dyDescent="0.3">
      <c r="G342" s="504"/>
    </row>
    <row r="343" spans="7:7" x14ac:dyDescent="0.3">
      <c r="G343" s="504"/>
    </row>
    <row r="344" spans="7:7" x14ac:dyDescent="0.3">
      <c r="G344" s="504"/>
    </row>
    <row r="345" spans="7:7" x14ac:dyDescent="0.3">
      <c r="G345" s="504"/>
    </row>
    <row r="346" spans="7:7" x14ac:dyDescent="0.3">
      <c r="G346" s="504"/>
    </row>
    <row r="347" spans="7:7" x14ac:dyDescent="0.3">
      <c r="G347" s="504"/>
    </row>
    <row r="348" spans="7:7" x14ac:dyDescent="0.3">
      <c r="G348" s="504"/>
    </row>
    <row r="349" spans="7:7" x14ac:dyDescent="0.3">
      <c r="G349" s="504"/>
    </row>
    <row r="350" spans="7:7" x14ac:dyDescent="0.3">
      <c r="G350" s="504"/>
    </row>
    <row r="351" spans="7:7" x14ac:dyDescent="0.3">
      <c r="G351" s="504"/>
    </row>
    <row r="352" spans="7:7" x14ac:dyDescent="0.3">
      <c r="G352" s="504"/>
    </row>
    <row r="353" spans="7:7" x14ac:dyDescent="0.3">
      <c r="G353" s="504"/>
    </row>
    <row r="354" spans="7:7" x14ac:dyDescent="0.3">
      <c r="G354" s="504"/>
    </row>
    <row r="355" spans="7:7" x14ac:dyDescent="0.3">
      <c r="G355" s="504"/>
    </row>
    <row r="356" spans="7:7" x14ac:dyDescent="0.3">
      <c r="G356" s="504"/>
    </row>
    <row r="357" spans="7:7" x14ac:dyDescent="0.3">
      <c r="G357" s="504"/>
    </row>
    <row r="358" spans="7:7" x14ac:dyDescent="0.3">
      <c r="G358" s="504"/>
    </row>
    <row r="359" spans="7:7" x14ac:dyDescent="0.3">
      <c r="G359" s="504"/>
    </row>
    <row r="360" spans="7:7" x14ac:dyDescent="0.3">
      <c r="G360" s="504"/>
    </row>
    <row r="361" spans="7:7" x14ac:dyDescent="0.3">
      <c r="G361" s="504"/>
    </row>
    <row r="362" spans="7:7" x14ac:dyDescent="0.3">
      <c r="G362" s="504"/>
    </row>
    <row r="363" spans="7:7" x14ac:dyDescent="0.3">
      <c r="G363" s="504"/>
    </row>
    <row r="364" spans="7:7" x14ac:dyDescent="0.3">
      <c r="G364" s="504"/>
    </row>
    <row r="365" spans="7:7" x14ac:dyDescent="0.3">
      <c r="G365" s="504"/>
    </row>
    <row r="366" spans="7:7" x14ac:dyDescent="0.3">
      <c r="G366" s="504"/>
    </row>
    <row r="367" spans="7:7" x14ac:dyDescent="0.3">
      <c r="G367" s="504"/>
    </row>
    <row r="368" spans="7:7" x14ac:dyDescent="0.3">
      <c r="G368" s="504"/>
    </row>
    <row r="369" spans="7:7" x14ac:dyDescent="0.3">
      <c r="G369" s="504"/>
    </row>
    <row r="370" spans="7:7" x14ac:dyDescent="0.3">
      <c r="G370" s="504"/>
    </row>
    <row r="371" spans="7:7" x14ac:dyDescent="0.3">
      <c r="G371" s="504"/>
    </row>
    <row r="372" spans="7:7" x14ac:dyDescent="0.3">
      <c r="G372" s="504"/>
    </row>
    <row r="373" spans="7:7" x14ac:dyDescent="0.3">
      <c r="G373" s="504"/>
    </row>
    <row r="374" spans="7:7" x14ac:dyDescent="0.3">
      <c r="G374" s="504"/>
    </row>
    <row r="375" spans="7:7" x14ac:dyDescent="0.3">
      <c r="G375" s="504"/>
    </row>
    <row r="376" spans="7:7" x14ac:dyDescent="0.3">
      <c r="G376" s="504"/>
    </row>
    <row r="377" spans="7:7" x14ac:dyDescent="0.3">
      <c r="G377" s="504"/>
    </row>
    <row r="378" spans="7:7" x14ac:dyDescent="0.3">
      <c r="G378" s="504"/>
    </row>
    <row r="379" spans="7:7" x14ac:dyDescent="0.3">
      <c r="G379" s="504"/>
    </row>
    <row r="380" spans="7:7" x14ac:dyDescent="0.3">
      <c r="G380" s="504"/>
    </row>
    <row r="381" spans="7:7" x14ac:dyDescent="0.3">
      <c r="G381" s="504"/>
    </row>
    <row r="382" spans="7:7" x14ac:dyDescent="0.3">
      <c r="G382" s="504"/>
    </row>
    <row r="383" spans="7:7" x14ac:dyDescent="0.3">
      <c r="G383" s="504"/>
    </row>
    <row r="384" spans="7:7" x14ac:dyDescent="0.3">
      <c r="G384" s="504"/>
    </row>
    <row r="385" spans="7:7" x14ac:dyDescent="0.3">
      <c r="G385" s="504"/>
    </row>
    <row r="386" spans="7:7" x14ac:dyDescent="0.3">
      <c r="G386" s="504"/>
    </row>
    <row r="387" spans="7:7" x14ac:dyDescent="0.3">
      <c r="G387" s="504"/>
    </row>
    <row r="388" spans="7:7" x14ac:dyDescent="0.3">
      <c r="G388" s="504"/>
    </row>
    <row r="389" spans="7:7" x14ac:dyDescent="0.3">
      <c r="G389" s="504"/>
    </row>
    <row r="390" spans="7:7" x14ac:dyDescent="0.3">
      <c r="G390" s="504"/>
    </row>
    <row r="391" spans="7:7" x14ac:dyDescent="0.3">
      <c r="G391" s="504"/>
    </row>
    <row r="392" spans="7:7" x14ac:dyDescent="0.3">
      <c r="G392" s="504"/>
    </row>
    <row r="393" spans="7:7" x14ac:dyDescent="0.3">
      <c r="G393" s="504"/>
    </row>
    <row r="394" spans="7:7" x14ac:dyDescent="0.3">
      <c r="G394" s="504"/>
    </row>
    <row r="395" spans="7:7" x14ac:dyDescent="0.3">
      <c r="G395" s="504"/>
    </row>
    <row r="396" spans="7:7" x14ac:dyDescent="0.3">
      <c r="G396" s="504"/>
    </row>
    <row r="397" spans="7:7" x14ac:dyDescent="0.3">
      <c r="G397" s="504"/>
    </row>
    <row r="398" spans="7:7" x14ac:dyDescent="0.3">
      <c r="G398" s="504"/>
    </row>
    <row r="399" spans="7:7" x14ac:dyDescent="0.3">
      <c r="G399" s="504"/>
    </row>
    <row r="400" spans="7:7" x14ac:dyDescent="0.3">
      <c r="G400" s="504"/>
    </row>
    <row r="401" spans="7:7" x14ac:dyDescent="0.3">
      <c r="G401" s="504"/>
    </row>
    <row r="402" spans="7:7" x14ac:dyDescent="0.3">
      <c r="G402" s="504"/>
    </row>
    <row r="403" spans="7:7" x14ac:dyDescent="0.3">
      <c r="G403" s="504"/>
    </row>
    <row r="404" spans="7:7" x14ac:dyDescent="0.3">
      <c r="G404" s="504"/>
    </row>
    <row r="405" spans="7:7" x14ac:dyDescent="0.3">
      <c r="G405" s="504"/>
    </row>
    <row r="406" spans="7:7" x14ac:dyDescent="0.3">
      <c r="G406" s="504"/>
    </row>
    <row r="407" spans="7:7" x14ac:dyDescent="0.3">
      <c r="G407" s="504"/>
    </row>
    <row r="408" spans="7:7" x14ac:dyDescent="0.3">
      <c r="G408" s="504"/>
    </row>
    <row r="409" spans="7:7" x14ac:dyDescent="0.3">
      <c r="G409" s="504"/>
    </row>
    <row r="410" spans="7:7" x14ac:dyDescent="0.3">
      <c r="G410" s="504"/>
    </row>
    <row r="411" spans="7:7" x14ac:dyDescent="0.3">
      <c r="G411" s="504"/>
    </row>
    <row r="412" spans="7:7" x14ac:dyDescent="0.3">
      <c r="G412" s="504"/>
    </row>
    <row r="413" spans="7:7" x14ac:dyDescent="0.3">
      <c r="G413" s="504"/>
    </row>
    <row r="414" spans="7:7" x14ac:dyDescent="0.3">
      <c r="G414" s="504"/>
    </row>
    <row r="415" spans="7:7" x14ac:dyDescent="0.3">
      <c r="G415" s="504"/>
    </row>
    <row r="416" spans="7:7" x14ac:dyDescent="0.3">
      <c r="G416" s="504"/>
    </row>
    <row r="417" spans="7:7" x14ac:dyDescent="0.3">
      <c r="G417" s="504"/>
    </row>
    <row r="418" spans="7:7" x14ac:dyDescent="0.3">
      <c r="G418" s="504"/>
    </row>
    <row r="419" spans="7:7" x14ac:dyDescent="0.3">
      <c r="G419" s="504"/>
    </row>
    <row r="420" spans="7:7" x14ac:dyDescent="0.3">
      <c r="G420" s="504"/>
    </row>
    <row r="421" spans="7:7" x14ac:dyDescent="0.3">
      <c r="G421" s="504"/>
    </row>
    <row r="422" spans="7:7" x14ac:dyDescent="0.3">
      <c r="G422" s="504"/>
    </row>
    <row r="423" spans="7:7" x14ac:dyDescent="0.3">
      <c r="G423" s="504"/>
    </row>
    <row r="424" spans="7:7" x14ac:dyDescent="0.3">
      <c r="G424" s="504"/>
    </row>
    <row r="425" spans="7:7" x14ac:dyDescent="0.3">
      <c r="G425" s="504"/>
    </row>
    <row r="426" spans="7:7" x14ac:dyDescent="0.3">
      <c r="G426" s="504"/>
    </row>
    <row r="427" spans="7:7" x14ac:dyDescent="0.3">
      <c r="G427" s="504"/>
    </row>
    <row r="428" spans="7:7" x14ac:dyDescent="0.3">
      <c r="G428" s="504"/>
    </row>
    <row r="429" spans="7:7" x14ac:dyDescent="0.3">
      <c r="G429" s="504"/>
    </row>
    <row r="430" spans="7:7" x14ac:dyDescent="0.3">
      <c r="G430" s="504"/>
    </row>
    <row r="431" spans="7:7" x14ac:dyDescent="0.3">
      <c r="G431" s="504"/>
    </row>
    <row r="432" spans="7:7" x14ac:dyDescent="0.3">
      <c r="G432" s="504"/>
    </row>
    <row r="433" spans="7:7" x14ac:dyDescent="0.3">
      <c r="G433" s="504"/>
    </row>
    <row r="434" spans="7:7" x14ac:dyDescent="0.3">
      <c r="G434" s="504"/>
    </row>
    <row r="435" spans="7:7" x14ac:dyDescent="0.3">
      <c r="G435" s="504"/>
    </row>
    <row r="436" spans="7:7" x14ac:dyDescent="0.3">
      <c r="G436" s="504"/>
    </row>
    <row r="437" spans="7:7" x14ac:dyDescent="0.3">
      <c r="G437" s="504"/>
    </row>
    <row r="438" spans="7:7" x14ac:dyDescent="0.3">
      <c r="G438" s="504"/>
    </row>
    <row r="439" spans="7:7" x14ac:dyDescent="0.3">
      <c r="G439" s="504"/>
    </row>
    <row r="440" spans="7:7" x14ac:dyDescent="0.3">
      <c r="G440" s="504"/>
    </row>
    <row r="441" spans="7:7" x14ac:dyDescent="0.3">
      <c r="G441" s="504"/>
    </row>
    <row r="442" spans="7:7" x14ac:dyDescent="0.3">
      <c r="G442" s="504"/>
    </row>
    <row r="443" spans="7:7" x14ac:dyDescent="0.3">
      <c r="G443" s="504"/>
    </row>
    <row r="444" spans="7:7" x14ac:dyDescent="0.3">
      <c r="G444" s="504"/>
    </row>
    <row r="445" spans="7:7" x14ac:dyDescent="0.3">
      <c r="G445" s="504"/>
    </row>
    <row r="446" spans="7:7" x14ac:dyDescent="0.3">
      <c r="G446" s="504"/>
    </row>
    <row r="447" spans="7:7" x14ac:dyDescent="0.3">
      <c r="G447" s="504"/>
    </row>
    <row r="448" spans="7:7" x14ac:dyDescent="0.3">
      <c r="G448" s="504"/>
    </row>
    <row r="449" spans="7:7" x14ac:dyDescent="0.3">
      <c r="G449" s="504"/>
    </row>
    <row r="450" spans="7:7" x14ac:dyDescent="0.3">
      <c r="G450" s="504"/>
    </row>
    <row r="451" spans="7:7" x14ac:dyDescent="0.3">
      <c r="G451" s="504"/>
    </row>
    <row r="452" spans="7:7" x14ac:dyDescent="0.3">
      <c r="G452" s="504"/>
    </row>
    <row r="453" spans="7:7" x14ac:dyDescent="0.3">
      <c r="G453" s="504"/>
    </row>
    <row r="454" spans="7:7" x14ac:dyDescent="0.3">
      <c r="G454" s="504"/>
    </row>
    <row r="455" spans="7:7" x14ac:dyDescent="0.3">
      <c r="G455" s="504"/>
    </row>
    <row r="456" spans="7:7" x14ac:dyDescent="0.3">
      <c r="G456" s="504"/>
    </row>
    <row r="457" spans="7:7" x14ac:dyDescent="0.3">
      <c r="G457" s="504"/>
    </row>
    <row r="458" spans="7:7" x14ac:dyDescent="0.3">
      <c r="G458" s="504"/>
    </row>
    <row r="459" spans="7:7" x14ac:dyDescent="0.3">
      <c r="G459" s="504"/>
    </row>
    <row r="460" spans="7:7" x14ac:dyDescent="0.3">
      <c r="G460" s="504"/>
    </row>
    <row r="461" spans="7:7" x14ac:dyDescent="0.3">
      <c r="G461" s="504"/>
    </row>
    <row r="462" spans="7:7" x14ac:dyDescent="0.3">
      <c r="G462" s="504"/>
    </row>
    <row r="463" spans="7:7" x14ac:dyDescent="0.3">
      <c r="G463" s="504"/>
    </row>
    <row r="464" spans="7:7" x14ac:dyDescent="0.3">
      <c r="G464" s="504"/>
    </row>
    <row r="465" spans="7:7" x14ac:dyDescent="0.3">
      <c r="G465" s="504"/>
    </row>
    <row r="466" spans="7:7" x14ac:dyDescent="0.3">
      <c r="G466" s="504"/>
    </row>
    <row r="467" spans="7:7" x14ac:dyDescent="0.3">
      <c r="G467" s="504"/>
    </row>
    <row r="468" spans="7:7" x14ac:dyDescent="0.3">
      <c r="G468" s="504"/>
    </row>
    <row r="469" spans="7:7" x14ac:dyDescent="0.3">
      <c r="G469" s="504"/>
    </row>
    <row r="470" spans="7:7" x14ac:dyDescent="0.3">
      <c r="G470" s="504"/>
    </row>
    <row r="471" spans="7:7" x14ac:dyDescent="0.3">
      <c r="G471" s="504"/>
    </row>
    <row r="472" spans="7:7" x14ac:dyDescent="0.3">
      <c r="G472" s="504"/>
    </row>
    <row r="473" spans="7:7" x14ac:dyDescent="0.3">
      <c r="G473" s="504"/>
    </row>
    <row r="474" spans="7:7" x14ac:dyDescent="0.3">
      <c r="G474" s="504"/>
    </row>
    <row r="475" spans="7:7" x14ac:dyDescent="0.3">
      <c r="G475" s="504"/>
    </row>
    <row r="476" spans="7:7" x14ac:dyDescent="0.3">
      <c r="G476" s="504"/>
    </row>
    <row r="477" spans="7:7" x14ac:dyDescent="0.3">
      <c r="G477" s="504"/>
    </row>
    <row r="478" spans="7:7" x14ac:dyDescent="0.3">
      <c r="G478" s="504"/>
    </row>
    <row r="479" spans="7:7" x14ac:dyDescent="0.3">
      <c r="G479" s="504"/>
    </row>
    <row r="480" spans="7:7" x14ac:dyDescent="0.3">
      <c r="G480" s="504"/>
    </row>
    <row r="481" spans="7:7" x14ac:dyDescent="0.3">
      <c r="G481" s="504"/>
    </row>
    <row r="482" spans="7:7" x14ac:dyDescent="0.3">
      <c r="G482" s="504"/>
    </row>
    <row r="483" spans="7:7" x14ac:dyDescent="0.3">
      <c r="G483" s="504"/>
    </row>
    <row r="484" spans="7:7" x14ac:dyDescent="0.3">
      <c r="G484" s="504"/>
    </row>
    <row r="485" spans="7:7" x14ac:dyDescent="0.3">
      <c r="G485" s="504"/>
    </row>
    <row r="486" spans="7:7" x14ac:dyDescent="0.3">
      <c r="G486" s="504"/>
    </row>
    <row r="487" spans="7:7" x14ac:dyDescent="0.3">
      <c r="G487" s="504"/>
    </row>
    <row r="488" spans="7:7" x14ac:dyDescent="0.3">
      <c r="G488" s="504"/>
    </row>
    <row r="489" spans="7:7" x14ac:dyDescent="0.3">
      <c r="G489" s="504"/>
    </row>
    <row r="490" spans="7:7" x14ac:dyDescent="0.3">
      <c r="G490" s="504"/>
    </row>
    <row r="491" spans="7:7" x14ac:dyDescent="0.3">
      <c r="G491" s="504"/>
    </row>
    <row r="492" spans="7:7" x14ac:dyDescent="0.3">
      <c r="G492" s="504"/>
    </row>
    <row r="493" spans="7:7" x14ac:dyDescent="0.3">
      <c r="G493" s="504"/>
    </row>
    <row r="494" spans="7:7" x14ac:dyDescent="0.3">
      <c r="G494" s="504"/>
    </row>
    <row r="495" spans="7:7" x14ac:dyDescent="0.3">
      <c r="G495" s="504"/>
    </row>
    <row r="496" spans="7:7" x14ac:dyDescent="0.3">
      <c r="G496" s="504"/>
    </row>
    <row r="497" spans="7:7" x14ac:dyDescent="0.3">
      <c r="G497" s="504"/>
    </row>
    <row r="498" spans="7:7" x14ac:dyDescent="0.3">
      <c r="G498" s="504"/>
    </row>
    <row r="499" spans="7:7" x14ac:dyDescent="0.3">
      <c r="G499" s="504"/>
    </row>
    <row r="500" spans="7:7" x14ac:dyDescent="0.3">
      <c r="G500" s="504"/>
    </row>
    <row r="501" spans="7:7" x14ac:dyDescent="0.3">
      <c r="G501" s="504"/>
    </row>
    <row r="502" spans="7:7" x14ac:dyDescent="0.3">
      <c r="G502" s="504"/>
    </row>
    <row r="503" spans="7:7" x14ac:dyDescent="0.3">
      <c r="G503" s="504"/>
    </row>
    <row r="504" spans="7:7" x14ac:dyDescent="0.3">
      <c r="G504" s="504"/>
    </row>
    <row r="505" spans="7:7" x14ac:dyDescent="0.3">
      <c r="G505" s="504"/>
    </row>
    <row r="506" spans="7:7" x14ac:dyDescent="0.3">
      <c r="G506" s="504"/>
    </row>
    <row r="507" spans="7:7" x14ac:dyDescent="0.3">
      <c r="G507" s="504"/>
    </row>
    <row r="508" spans="7:7" x14ac:dyDescent="0.3">
      <c r="G508" s="504"/>
    </row>
    <row r="509" spans="7:7" x14ac:dyDescent="0.3">
      <c r="G509" s="504"/>
    </row>
    <row r="510" spans="7:7" x14ac:dyDescent="0.3">
      <c r="G510" s="504"/>
    </row>
    <row r="511" spans="7:7" x14ac:dyDescent="0.3">
      <c r="G511" s="504"/>
    </row>
    <row r="512" spans="7:7" x14ac:dyDescent="0.3">
      <c r="G512" s="504"/>
    </row>
    <row r="513" spans="7:7" x14ac:dyDescent="0.3">
      <c r="G513" s="504"/>
    </row>
    <row r="514" spans="7:7" x14ac:dyDescent="0.3">
      <c r="G514" s="504"/>
    </row>
    <row r="515" spans="7:7" x14ac:dyDescent="0.3">
      <c r="G515" s="504"/>
    </row>
    <row r="516" spans="7:7" x14ac:dyDescent="0.3">
      <c r="G516" s="504"/>
    </row>
    <row r="517" spans="7:7" x14ac:dyDescent="0.3">
      <c r="G517" s="504"/>
    </row>
    <row r="518" spans="7:7" x14ac:dyDescent="0.3">
      <c r="G518" s="504"/>
    </row>
    <row r="519" spans="7:7" x14ac:dyDescent="0.3">
      <c r="G519" s="504"/>
    </row>
    <row r="520" spans="7:7" x14ac:dyDescent="0.3">
      <c r="G520" s="504"/>
    </row>
    <row r="521" spans="7:7" x14ac:dyDescent="0.3">
      <c r="G521" s="504"/>
    </row>
    <row r="522" spans="7:7" x14ac:dyDescent="0.3">
      <c r="G522" s="504"/>
    </row>
    <row r="523" spans="7:7" x14ac:dyDescent="0.3">
      <c r="G523" s="504"/>
    </row>
    <row r="524" spans="7:7" x14ac:dyDescent="0.3">
      <c r="G524" s="504"/>
    </row>
    <row r="525" spans="7:7" x14ac:dyDescent="0.3">
      <c r="G525" s="504"/>
    </row>
    <row r="526" spans="7:7" x14ac:dyDescent="0.3">
      <c r="G526" s="504"/>
    </row>
    <row r="527" spans="7:7" x14ac:dyDescent="0.3">
      <c r="G527" s="504"/>
    </row>
    <row r="528" spans="7:7" x14ac:dyDescent="0.3">
      <c r="G528" s="504"/>
    </row>
    <row r="529" spans="7:7" x14ac:dyDescent="0.3">
      <c r="G529" s="504"/>
    </row>
    <row r="530" spans="7:7" x14ac:dyDescent="0.3">
      <c r="G530" s="504"/>
    </row>
    <row r="531" spans="7:7" x14ac:dyDescent="0.3">
      <c r="G531" s="504"/>
    </row>
    <row r="532" spans="7:7" x14ac:dyDescent="0.3">
      <c r="G532" s="504"/>
    </row>
    <row r="533" spans="7:7" x14ac:dyDescent="0.3">
      <c r="G533" s="504"/>
    </row>
    <row r="534" spans="7:7" x14ac:dyDescent="0.3">
      <c r="G534" s="504"/>
    </row>
    <row r="535" spans="7:7" x14ac:dyDescent="0.3">
      <c r="G535" s="504"/>
    </row>
    <row r="536" spans="7:7" x14ac:dyDescent="0.3">
      <c r="G536" s="504"/>
    </row>
    <row r="537" spans="7:7" x14ac:dyDescent="0.3">
      <c r="G537" s="504"/>
    </row>
    <row r="538" spans="7:7" x14ac:dyDescent="0.3">
      <c r="G538" s="504"/>
    </row>
    <row r="539" spans="7:7" x14ac:dyDescent="0.3">
      <c r="G539" s="504"/>
    </row>
    <row r="540" spans="7:7" x14ac:dyDescent="0.3">
      <c r="G540" s="504"/>
    </row>
    <row r="541" spans="7:7" x14ac:dyDescent="0.3">
      <c r="G541" s="504"/>
    </row>
    <row r="542" spans="7:7" x14ac:dyDescent="0.3">
      <c r="G542" s="504"/>
    </row>
    <row r="543" spans="7:7" x14ac:dyDescent="0.3">
      <c r="G543" s="504"/>
    </row>
    <row r="544" spans="7:7" x14ac:dyDescent="0.3">
      <c r="G544" s="504"/>
    </row>
    <row r="545" spans="7:7" x14ac:dyDescent="0.3">
      <c r="G545" s="504"/>
    </row>
    <row r="546" spans="7:7" x14ac:dyDescent="0.3">
      <c r="G546" s="504"/>
    </row>
    <row r="547" spans="7:7" x14ac:dyDescent="0.3">
      <c r="G547" s="504"/>
    </row>
    <row r="548" spans="7:7" x14ac:dyDescent="0.3">
      <c r="G548" s="504"/>
    </row>
    <row r="549" spans="7:7" x14ac:dyDescent="0.3">
      <c r="G549" s="504"/>
    </row>
    <row r="550" spans="7:7" x14ac:dyDescent="0.3">
      <c r="G550" s="504"/>
    </row>
  </sheetData>
  <conditionalFormatting sqref="D2">
    <cfRule type="iconSet" priority="47">
      <iconSet iconSet="3Symbols2">
        <cfvo type="percent" val="0"/>
        <cfvo type="num" val="0.02"/>
        <cfvo type="num" val="0.02"/>
      </iconSet>
    </cfRule>
  </conditionalFormatting>
  <conditionalFormatting sqref="D2:D20 D22:D25 D28:D32 D35:D39 L2:L4 L15:L17 L21:L24 L28:L29">
    <cfRule type="dataBar" priority="4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{0781F3A8-C18F-4BB3-A2BB-2E890AC52F11}</x14:id>
        </ext>
      </extLst>
    </cfRule>
  </conditionalFormatting>
  <conditionalFormatting sqref="D3">
    <cfRule type="iconSet" priority="5">
      <iconSet iconSet="3Symbols2">
        <cfvo type="percent" val="0"/>
        <cfvo type="num" val="0.2"/>
        <cfvo type="num" val="0.2"/>
      </iconSet>
    </cfRule>
  </conditionalFormatting>
  <conditionalFormatting sqref="D5">
    <cfRule type="iconSet" priority="45">
      <iconSet iconSet="3Symbols2">
        <cfvo type="percent" val="0"/>
        <cfvo type="num" val="0.5"/>
        <cfvo type="num" val="0.5"/>
      </iconSet>
    </cfRule>
  </conditionalFormatting>
  <conditionalFormatting sqref="D13">
    <cfRule type="iconSet" priority="26">
      <iconSet iconSet="3Symbols2">
        <cfvo type="percent" val="0"/>
        <cfvo type="num" val="0.5"/>
        <cfvo type="num" val="0.5"/>
      </iconSet>
    </cfRule>
  </conditionalFormatting>
  <conditionalFormatting sqref="D17">
    <cfRule type="iconSet" priority="39">
      <iconSet iconSet="3Symbols2">
        <cfvo type="percent" val="0"/>
        <cfvo type="num" val="0.5"/>
        <cfvo type="num" val="0.5"/>
      </iconSet>
    </cfRule>
  </conditionalFormatting>
  <conditionalFormatting sqref="D17:D20">
    <cfRule type="dataBar" priority="40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{9EBDF69B-D251-469A-B78C-F0E56EA7C3BB}</x14:id>
        </ext>
      </extLst>
    </cfRule>
  </conditionalFormatting>
  <conditionalFormatting sqref="D20">
    <cfRule type="iconSet" priority="38">
      <iconSet iconSet="3Symbols2">
        <cfvo type="percent" val="0"/>
        <cfvo type="num" val="0.5"/>
        <cfvo type="num" val="0.5"/>
      </iconSet>
    </cfRule>
  </conditionalFormatting>
  <conditionalFormatting sqref="D25">
    <cfRule type="iconSet" priority="34">
      <iconSet iconSet="3Symbols2">
        <cfvo type="percent" val="0"/>
        <cfvo type="num" val="0.5"/>
        <cfvo type="num" val="0.5"/>
      </iconSet>
    </cfRule>
  </conditionalFormatting>
  <conditionalFormatting sqref="D30">
    <cfRule type="iconSet" priority="4">
      <iconSet iconSet="3Symbols2">
        <cfvo type="percent" val="0"/>
        <cfvo type="num" val="0.4"/>
        <cfvo type="num" val="0.4"/>
      </iconSet>
    </cfRule>
  </conditionalFormatting>
  <conditionalFormatting sqref="D38">
    <cfRule type="iconSet" priority="28">
      <iconSet iconSet="3Symbols2">
        <cfvo type="percent" val="0"/>
        <cfvo type="num" val="0.5"/>
        <cfvo type="num" val="0.5"/>
      </iconSet>
    </cfRule>
  </conditionalFormatting>
  <conditionalFormatting sqref="D40">
    <cfRule type="iconSet" priority="1">
      <iconSet iconSet="3Symbols2">
        <cfvo type="percent" val="0"/>
        <cfvo type="num" val="0.5"/>
        <cfvo type="num" val="0.5"/>
      </iconSet>
    </cfRule>
    <cfRule type="dataBar" priority="2">
      <dataBar>
        <cfvo type="num" val="0"/>
        <cfvo type="num" val="1"/>
        <color rgb="FF00B0F0"/>
      </dataBar>
      <extLst>
        <ext xmlns:x14="http://schemas.microsoft.com/office/spreadsheetml/2009/9/main" uri="{B025F937-C7B1-47D3-B67F-A62EFF666E3E}">
          <x14:id>{84BF73C1-9B4C-4C53-ADD1-F347FEC141B3}</x14:id>
        </ext>
      </extLst>
    </cfRule>
  </conditionalFormatting>
  <conditionalFormatting sqref="L4">
    <cfRule type="iconSet" priority="23">
      <iconSet iconSet="3Symbols2">
        <cfvo type="percent" val="0"/>
        <cfvo type="num" val="0.45"/>
        <cfvo type="num" val="0.45"/>
      </iconSet>
    </cfRule>
  </conditionalFormatting>
  <conditionalFormatting sqref="L8:L11">
    <cfRule type="dataBar" priority="2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{6D6A4531-08A6-4D36-8290-7FA5FC8541B1}</x14:id>
        </ext>
      </extLst>
    </cfRule>
  </conditionalFormatting>
  <conditionalFormatting sqref="L10">
    <cfRule type="iconSet" priority="7">
      <iconSet iconSet="3Symbols2">
        <cfvo type="percent" val="0"/>
        <cfvo type="num" val="0.4"/>
        <cfvo type="num" val="0.4"/>
      </iconSet>
    </cfRule>
  </conditionalFormatting>
  <conditionalFormatting sqref="L11">
    <cfRule type="iconSet" priority="6">
      <iconSet iconSet="3Symbols2">
        <cfvo type="percent" val="0"/>
        <cfvo type="num" val="0.5"/>
        <cfvo type="num" val="0.5"/>
      </iconSet>
    </cfRule>
  </conditionalFormatting>
  <conditionalFormatting sqref="L15">
    <cfRule type="iconSet" priority="18">
      <iconSet iconSet="3Symbols2">
        <cfvo type="percent" val="0"/>
        <cfvo type="num" val="0.2"/>
        <cfvo type="num" val="0.2"/>
      </iconSet>
    </cfRule>
  </conditionalFormatting>
  <conditionalFormatting sqref="L17">
    <cfRule type="iconSet" priority="17">
      <iconSet iconSet="3Symbols2">
        <cfvo type="percent" val="0"/>
        <cfvo type="num" val="0.5"/>
        <cfvo type="num" val="0.5"/>
      </iconSet>
    </cfRule>
  </conditionalFormatting>
  <conditionalFormatting sqref="L24">
    <cfRule type="iconSet" priority="16">
      <iconSet iconSet="3Symbols2">
        <cfvo type="percent" val="0"/>
        <cfvo type="num" val="0.45"/>
        <cfvo type="num" val="0.45"/>
      </iconSet>
    </cfRule>
  </conditionalFormatting>
  <conditionalFormatting sqref="L28">
    <cfRule type="iconSet" priority="51">
      <iconSet iconSet="3Symbols2">
        <cfvo type="percent" val="0"/>
        <cfvo type="num" val="0.4"/>
        <cfvo type="num" val="0.4"/>
      </iconSet>
    </cfRule>
  </conditionalFormatting>
  <conditionalFormatting sqref="L29">
    <cfRule type="iconSet" priority="13">
      <iconSet iconSet="3Symbols2">
        <cfvo type="percent" val="0"/>
        <cfvo type="num" val="0.5"/>
        <cfvo type="num" val="0.5"/>
      </iconSet>
    </cfRule>
  </conditionalFormatting>
  <conditionalFormatting sqref="L33:L37">
    <cfRule type="dataBar" priority="10">
      <dataBar>
        <cfvo type="num" val="0"/>
        <cfvo type="num" val="1"/>
        <color rgb="FF00B0F0"/>
      </dataBar>
      <extLst>
        <ext xmlns:x14="http://schemas.microsoft.com/office/spreadsheetml/2009/9/main" uri="{B025F937-C7B1-47D3-B67F-A62EFF666E3E}">
          <x14:id>{86DFA67B-9D17-4861-966C-E08608A091D7}</x14:id>
        </ext>
      </extLst>
    </cfRule>
  </conditionalFormatting>
  <conditionalFormatting sqref="L35">
    <cfRule type="iconSet" priority="9">
      <iconSet iconSet="3Symbols2">
        <cfvo type="percent" val="0"/>
        <cfvo type="num" val="0.5"/>
        <cfvo type="num" val="0.5"/>
      </iconSet>
    </cfRule>
  </conditionalFormatting>
  <conditionalFormatting sqref="L37">
    <cfRule type="iconSet" priority="3">
      <iconSet iconSet="3Symbols2">
        <cfvo type="percent" val="0"/>
        <cfvo type="num" val="0.5"/>
        <cfvo type="num" val="0.5"/>
      </iconSet>
    </cfRule>
  </conditionalFormatting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781F3A8-C18F-4BB3-A2BB-2E890AC52F11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D2:D20 D22:D25 D28:D32 D35:D39 L2:L4 L15:L17 L21:L24 L28:L29</xm:sqref>
        </x14:conditionalFormatting>
        <x14:conditionalFormatting xmlns:xm="http://schemas.microsoft.com/office/excel/2006/main">
          <x14:cfRule type="dataBar" id="{9EBDF69B-D251-469A-B78C-F0E56EA7C3BB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theme="2" tint="-0.249977111117893"/>
              <x14:negativeFillColor rgb="FFFF0000"/>
              <x14:negativeBorderColor rgb="FFFF0000"/>
              <x14:axisColor rgb="FF000000"/>
            </x14:dataBar>
          </x14:cfRule>
          <xm:sqref>D17:D20</xm:sqref>
        </x14:conditionalFormatting>
        <x14:conditionalFormatting xmlns:xm="http://schemas.microsoft.com/office/excel/2006/main">
          <x14:cfRule type="dataBar" id="{84BF73C1-9B4C-4C53-ADD1-F347FEC141B3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B0F0"/>
              <x14:negativeFillColor rgb="FFFF0000"/>
              <x14:negativeBorderColor rgb="FFFF0000"/>
              <x14:axisColor rgb="FF000000"/>
            </x14:dataBar>
          </x14:cfRule>
          <xm:sqref>D40</xm:sqref>
        </x14:conditionalFormatting>
        <x14:conditionalFormatting xmlns:xm="http://schemas.microsoft.com/office/excel/2006/main">
          <x14:cfRule type="iconSet" priority="36" id="{7DBAD6FC-7E73-461D-B64B-DCEFA3E42717}">
            <x14:iconSet iconSet="3Stars">
              <x14:cfvo type="percent">
                <xm:f>0</xm:f>
              </x14:cfvo>
              <x14:cfvo type="num">
                <xm:f>2</xm:f>
              </x14:cfvo>
              <x14:cfvo type="num">
                <xm:f>2</xm:f>
              </x14:cfvo>
            </x14:iconSet>
          </x14:cfRule>
          <xm:sqref>E5</xm:sqref>
        </x14:conditionalFormatting>
        <x14:conditionalFormatting xmlns:xm="http://schemas.microsoft.com/office/excel/2006/main">
          <x14:cfRule type="iconSet" priority="37" id="{49EDFD4C-F0E1-4DF3-92AC-258DDAD7B726}">
            <x14:iconSet iconSet="3Stars">
              <x14:cfvo type="percent">
                <xm:f>0</xm:f>
              </x14:cfvo>
              <x14:cfvo type="num">
                <xm:f>2</xm:f>
              </x14:cfvo>
              <x14:cfvo type="num">
                <xm:f>2</xm:f>
              </x14:cfvo>
            </x14:iconSet>
          </x14:cfRule>
          <xm:sqref>E13</xm:sqref>
        </x14:conditionalFormatting>
        <x14:conditionalFormatting xmlns:xm="http://schemas.microsoft.com/office/excel/2006/main">
          <x14:cfRule type="iconSet" priority="41" id="{C69CA780-8D82-4AEF-B598-7F537CBC3B9D}">
            <x14:iconSet iconSet="3Stars">
              <x14:cfvo type="percent">
                <xm:f>0</xm:f>
              </x14:cfvo>
              <x14:cfvo type="num">
                <xm:f>2</xm:f>
              </x14:cfvo>
              <x14:cfvo type="num">
                <xm:f>2</xm:f>
              </x14:cfvo>
            </x14:iconSet>
          </x14:cfRule>
          <xm:sqref>E20</xm:sqref>
        </x14:conditionalFormatting>
        <x14:conditionalFormatting xmlns:xm="http://schemas.microsoft.com/office/excel/2006/main">
          <x14:cfRule type="iconSet" priority="35" id="{06DFA60C-6178-4E63-B87F-07F38E250626}">
            <x14:iconSet iconSet="3Stars">
              <x14:cfvo type="percent">
                <xm:f>0</xm:f>
              </x14:cfvo>
              <x14:cfvo type="num">
                <xm:f>2</xm:f>
              </x14:cfvo>
              <x14:cfvo type="num">
                <xm:f>2</xm:f>
              </x14:cfvo>
            </x14:iconSet>
          </x14:cfRule>
          <xm:sqref>E25</xm:sqref>
        </x14:conditionalFormatting>
        <x14:conditionalFormatting xmlns:xm="http://schemas.microsoft.com/office/excel/2006/main">
          <x14:cfRule type="iconSet" priority="32" id="{8E4AC41C-F344-4075-AF75-F7422BC142A2}">
            <x14:iconSet iconSet="3Stars">
              <x14:cfvo type="percent">
                <xm:f>0</xm:f>
              </x14:cfvo>
              <x14:cfvo type="num">
                <xm:f>2</xm:f>
              </x14:cfvo>
              <x14:cfvo type="num">
                <xm:f>2</xm:f>
              </x14:cfvo>
            </x14:iconSet>
          </x14:cfRule>
          <xm:sqref>E32</xm:sqref>
        </x14:conditionalFormatting>
        <x14:conditionalFormatting xmlns:xm="http://schemas.microsoft.com/office/excel/2006/main">
          <x14:cfRule type="iconSet" priority="29" id="{D846982C-22E0-4489-907A-F55BC2B16B4B}">
            <x14:iconSet iconSet="3Stars">
              <x14:cfvo type="percent">
                <xm:f>0</xm:f>
              </x14:cfvo>
              <x14:cfvo type="num">
                <xm:f>2</xm:f>
              </x14:cfvo>
              <x14:cfvo type="num">
                <xm:f>2</xm:f>
              </x14:cfvo>
            </x14:iconSet>
          </x14:cfRule>
          <xm:sqref>E40</xm:sqref>
        </x14:conditionalFormatting>
        <x14:conditionalFormatting xmlns:xm="http://schemas.microsoft.com/office/excel/2006/main">
          <x14:cfRule type="dataBar" id="{6D6A4531-08A6-4D36-8290-7FA5FC8541B1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L8:L11</xm:sqref>
        </x14:conditionalFormatting>
        <x14:conditionalFormatting xmlns:xm="http://schemas.microsoft.com/office/excel/2006/main">
          <x14:cfRule type="dataBar" id="{86DFA67B-9D17-4861-966C-E08608A091D7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B0F0"/>
              <x14:negativeFillColor rgb="FFFF0000"/>
              <x14:negativeBorderColor rgb="FFFF0000"/>
              <x14:axisColor rgb="FF000000"/>
            </x14:dataBar>
          </x14:cfRule>
          <xm:sqref>L33:L37</xm:sqref>
        </x14:conditionalFormatting>
        <x14:conditionalFormatting xmlns:xm="http://schemas.microsoft.com/office/excel/2006/main">
          <x14:cfRule type="iconSet" priority="25" id="{76B988D9-C506-455B-9CA0-6BA0B35328BB}">
            <x14:iconSet iconSet="3Stars">
              <x14:cfvo type="percent">
                <xm:f>0</xm:f>
              </x14:cfvo>
              <x14:cfvo type="num">
                <xm:f>2</xm:f>
              </x14:cfvo>
              <x14:cfvo type="num">
                <xm:f>2</xm:f>
              </x14:cfvo>
            </x14:iconSet>
          </x14:cfRule>
          <xm:sqref>M4</xm:sqref>
        </x14:conditionalFormatting>
        <x14:conditionalFormatting xmlns:xm="http://schemas.microsoft.com/office/excel/2006/main">
          <x14:cfRule type="iconSet" priority="20" id="{3D68180F-3704-4527-80CB-0C9925E06208}">
            <x14:iconSet iconSet="3Stars">
              <x14:cfvo type="percent">
                <xm:f>0</xm:f>
              </x14:cfvo>
              <x14:cfvo type="num">
                <xm:f>2</xm:f>
              </x14:cfvo>
              <x14:cfvo type="num">
                <xm:f>2</xm:f>
              </x14:cfvo>
            </x14:iconSet>
          </x14:cfRule>
          <xm:sqref>M11</xm:sqref>
        </x14:conditionalFormatting>
        <x14:conditionalFormatting xmlns:xm="http://schemas.microsoft.com/office/excel/2006/main">
          <x14:cfRule type="iconSet" priority="19" id="{774293A5-1541-4865-BE60-4D35830F454A}">
            <x14:iconSet iconSet="3Stars">
              <x14:cfvo type="percent">
                <xm:f>0</xm:f>
              </x14:cfvo>
              <x14:cfvo type="num">
                <xm:f>2</xm:f>
              </x14:cfvo>
              <x14:cfvo type="num">
                <xm:f>2</xm:f>
              </x14:cfvo>
            </x14:iconSet>
          </x14:cfRule>
          <xm:sqref>M17</xm:sqref>
        </x14:conditionalFormatting>
        <x14:conditionalFormatting xmlns:xm="http://schemas.microsoft.com/office/excel/2006/main">
          <x14:cfRule type="iconSet" priority="15" id="{8A88F764-F31E-4DE5-AACC-0BF9D2127F7E}">
            <x14:iconSet iconSet="3Stars">
              <x14:cfvo type="percent">
                <xm:f>0</xm:f>
              </x14:cfvo>
              <x14:cfvo type="num">
                <xm:f>2</xm:f>
              </x14:cfvo>
              <x14:cfvo type="num">
                <xm:f>2</xm:f>
              </x14:cfvo>
            </x14:iconSet>
          </x14:cfRule>
          <xm:sqref>M24</xm:sqref>
        </x14:conditionalFormatting>
        <x14:conditionalFormatting xmlns:xm="http://schemas.microsoft.com/office/excel/2006/main">
          <x14:cfRule type="iconSet" priority="14" id="{A45D9744-EE6F-4BEC-8471-F700450AC472}">
            <x14:iconSet iconSet="3Stars">
              <x14:cfvo type="percent">
                <xm:f>0</xm:f>
              </x14:cfvo>
              <x14:cfvo type="num">
                <xm:f>2</xm:f>
              </x14:cfvo>
              <x14:cfvo type="num">
                <xm:f>2</xm:f>
              </x14:cfvo>
            </x14:iconSet>
          </x14:cfRule>
          <xm:sqref>M29</xm:sqref>
        </x14:conditionalFormatting>
        <x14:conditionalFormatting xmlns:xm="http://schemas.microsoft.com/office/excel/2006/main">
          <x14:cfRule type="iconSet" priority="11" id="{42D61166-A403-4A02-BD96-7F596C87CA38}">
            <x14:iconSet iconSet="3Stars">
              <x14:cfvo type="percent">
                <xm:f>0</xm:f>
              </x14:cfvo>
              <x14:cfvo type="num">
                <xm:f>2</xm:f>
              </x14:cfvo>
              <x14:cfvo type="num">
                <xm:f>2</xm:f>
              </x14:cfvo>
            </x14:iconSet>
          </x14:cfRule>
          <xm:sqref>M37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43081-BB45-4F5F-9E4E-D5614D6EDB15}">
  <sheetPr>
    <tabColor rgb="FFBAF0BF"/>
  </sheetPr>
  <dimension ref="A1:T52"/>
  <sheetViews>
    <sheetView topLeftCell="A20" workbookViewId="0">
      <selection activeCell="B18" sqref="B18:B21"/>
    </sheetView>
  </sheetViews>
  <sheetFormatPr defaultColWidth="8.88671875" defaultRowHeight="14.4" x14ac:dyDescent="0.3"/>
  <cols>
    <col min="1" max="1" width="13.6640625" style="309" customWidth="1"/>
    <col min="2" max="2" width="12.33203125" style="338" bestFit="1" customWidth="1"/>
    <col min="3" max="3" width="8.88671875" style="338"/>
    <col min="4" max="4" width="15.6640625" style="338" customWidth="1"/>
    <col min="5" max="5" width="10.33203125" style="302" bestFit="1" customWidth="1"/>
    <col min="6" max="6" width="8.88671875" style="302"/>
    <col min="7" max="7" width="12.5546875" style="302" customWidth="1"/>
    <col min="8" max="16384" width="8.88671875" style="302"/>
  </cols>
  <sheetData>
    <row r="1" spans="1:20" ht="15" thickBot="1" x14ac:dyDescent="0.35">
      <c r="A1" s="592" t="s">
        <v>88</v>
      </c>
      <c r="B1" s="593" t="s">
        <v>61</v>
      </c>
      <c r="C1" s="594" t="s">
        <v>60</v>
      </c>
      <c r="D1" s="595" t="s">
        <v>13</v>
      </c>
      <c r="F1" s="279" t="s">
        <v>55</v>
      </c>
      <c r="H1" s="412"/>
      <c r="I1" s="752" t="s">
        <v>15</v>
      </c>
      <c r="J1" s="752" t="s">
        <v>93</v>
      </c>
      <c r="K1" s="752" t="s">
        <v>94</v>
      </c>
      <c r="L1" s="752" t="s">
        <v>95</v>
      </c>
      <c r="M1" s="752" t="s">
        <v>96</v>
      </c>
      <c r="N1" s="752" t="s">
        <v>101</v>
      </c>
      <c r="O1" s="752" t="s">
        <v>102</v>
      </c>
      <c r="P1" s="624"/>
      <c r="Q1" s="315"/>
      <c r="R1" s="315"/>
      <c r="S1" s="506"/>
      <c r="T1" s="506"/>
    </row>
    <row r="2" spans="1:20" ht="15" thickBot="1" x14ac:dyDescent="0.35">
      <c r="A2" s="596" t="s">
        <v>38</v>
      </c>
      <c r="B2" s="389"/>
      <c r="C2" s="407">
        <v>12</v>
      </c>
      <c r="D2" s="390">
        <f>B2/C2</f>
        <v>0</v>
      </c>
      <c r="E2" s="422"/>
      <c r="F2" s="277">
        <f>SUM(F6:F44)</f>
        <v>0</v>
      </c>
      <c r="H2" s="412"/>
      <c r="I2" s="752">
        <v>1</v>
      </c>
      <c r="J2" s="752">
        <v>1</v>
      </c>
      <c r="K2" s="752">
        <v>1</v>
      </c>
      <c r="L2" s="752">
        <v>1</v>
      </c>
      <c r="M2" s="752">
        <v>1</v>
      </c>
      <c r="N2" s="752">
        <v>1</v>
      </c>
      <c r="O2" s="752">
        <v>1</v>
      </c>
      <c r="P2" s="624"/>
      <c r="Q2" s="315"/>
      <c r="R2" s="315"/>
      <c r="S2" s="506"/>
      <c r="T2" s="506"/>
    </row>
    <row r="3" spans="1:20" x14ac:dyDescent="0.3">
      <c r="A3" s="597" t="s">
        <v>4</v>
      </c>
      <c r="B3" s="394"/>
      <c r="C3" s="395">
        <v>30</v>
      </c>
      <c r="D3" s="396">
        <f>B3/C3</f>
        <v>0</v>
      </c>
      <c r="F3" s="316"/>
      <c r="H3" s="412"/>
      <c r="I3" s="752">
        <v>2</v>
      </c>
      <c r="J3" s="752">
        <f>IF($B6 &gt;= 50, 1, 0)</f>
        <v>0</v>
      </c>
      <c r="K3" s="752">
        <f>IF($B$14 &gt;= 51, 1, 0)</f>
        <v>0</v>
      </c>
      <c r="L3" s="752">
        <f>IF($B$22 &gt;= 50, 1, 0)</f>
        <v>0</v>
      </c>
      <c r="M3" s="752">
        <f>IF($B$29 &gt;= 45, 1,)</f>
        <v>0</v>
      </c>
      <c r="N3" s="752">
        <f>IF($B$36 &gt;= 50, 1,)</f>
        <v>0</v>
      </c>
      <c r="O3" s="752">
        <f>IF($B$44 &gt;= 50, 1,)</f>
        <v>0</v>
      </c>
      <c r="P3" s="624"/>
      <c r="Q3" s="315"/>
      <c r="R3" s="315"/>
      <c r="S3" s="506"/>
      <c r="T3" s="506"/>
    </row>
    <row r="4" spans="1:20" ht="15" thickBot="1" x14ac:dyDescent="0.35">
      <c r="A4" s="597" t="s">
        <v>89</v>
      </c>
      <c r="B4" s="392"/>
      <c r="C4" s="392">
        <v>30</v>
      </c>
      <c r="D4" s="600">
        <f>B4/C4</f>
        <v>0</v>
      </c>
      <c r="H4" s="412"/>
      <c r="I4" s="752">
        <v>3</v>
      </c>
      <c r="J4" s="752">
        <f>IF($B$6 &gt;= 62, 1, 0)</f>
        <v>0</v>
      </c>
      <c r="K4" s="752">
        <f>IF($B$14 &gt;= 63, 1, 0)</f>
        <v>0</v>
      </c>
      <c r="L4" s="752">
        <f>IF($B$22 &gt;= 65, 1, )</f>
        <v>0</v>
      </c>
      <c r="M4" s="752">
        <f>IF($B$29 &gt;= 55, 1, )</f>
        <v>0</v>
      </c>
      <c r="N4" s="752">
        <f>IF($B$36 &gt;= 60, 1,)</f>
        <v>0</v>
      </c>
      <c r="O4" s="752">
        <f>IF($B$44 &gt;= 60, 1,)</f>
        <v>0</v>
      </c>
      <c r="P4" s="624"/>
      <c r="Q4" s="315"/>
      <c r="R4" s="315"/>
      <c r="S4" s="506"/>
      <c r="T4" s="506"/>
    </row>
    <row r="5" spans="1:20" ht="15" thickBot="1" x14ac:dyDescent="0.35">
      <c r="A5" s="597" t="s">
        <v>90</v>
      </c>
      <c r="B5" s="394"/>
      <c r="C5" s="394">
        <v>28</v>
      </c>
      <c r="D5" s="599">
        <f>B5/C5</f>
        <v>0</v>
      </c>
      <c r="E5" s="405" t="s">
        <v>23</v>
      </c>
      <c r="F5" s="280" t="s">
        <v>50</v>
      </c>
      <c r="H5" s="412"/>
      <c r="I5" s="752">
        <v>4</v>
      </c>
      <c r="J5" s="752">
        <f>IF($B$6 &gt;= 75, 1, 0)</f>
        <v>0</v>
      </c>
      <c r="K5" s="752">
        <f>IF($B$14 &gt;= 75, 1, 0)</f>
        <v>0</v>
      </c>
      <c r="L5" s="752">
        <f>IF($B$22 &gt;= 80, 1, 0)</f>
        <v>0</v>
      </c>
      <c r="M5" s="752">
        <f>IF($B$29 &gt;= 70, 1, )</f>
        <v>0</v>
      </c>
      <c r="N5" s="752">
        <f>IF($B$36 &gt;= 75, 1,)</f>
        <v>0</v>
      </c>
      <c r="O5" s="752">
        <f>IF($B$44 &gt;= 75, 1,)</f>
        <v>0</v>
      </c>
      <c r="P5" s="624"/>
      <c r="Q5" s="315"/>
      <c r="R5" s="315"/>
      <c r="S5" s="506"/>
      <c r="T5" s="506"/>
    </row>
    <row r="6" spans="1:20" ht="15" thickBot="1" x14ac:dyDescent="0.35">
      <c r="A6" s="598" t="s">
        <v>8</v>
      </c>
      <c r="B6" s="655">
        <f>SUM(B2:B5)</f>
        <v>0</v>
      </c>
      <c r="C6" s="602">
        <v>100</v>
      </c>
      <c r="D6" s="601">
        <f>B6/C6</f>
        <v>0</v>
      </c>
      <c r="E6" s="603">
        <f>J7</f>
        <v>1</v>
      </c>
      <c r="F6" s="276">
        <f>IF($E$6 &gt;1, 6, 0)</f>
        <v>0</v>
      </c>
      <c r="H6" s="412"/>
      <c r="I6" s="752">
        <v>5</v>
      </c>
      <c r="J6" s="752">
        <f>IF($B$6 &gt;= 87, 1, 0)</f>
        <v>0</v>
      </c>
      <c r="K6" s="752">
        <f>IF($B$14 &gt;= 87, 1, 0)</f>
        <v>0</v>
      </c>
      <c r="L6" s="752">
        <f>IF($B$22 &gt;= 90, 1, 0)</f>
        <v>0</v>
      </c>
      <c r="M6" s="752">
        <f>IF($B$29 &gt;= 85, 1, 0)</f>
        <v>0</v>
      </c>
      <c r="N6" s="752">
        <f>IF($B$36 &gt;= 90, 1,)</f>
        <v>0</v>
      </c>
      <c r="O6" s="752">
        <f>IF($B$44 &gt;= 85, 1,)</f>
        <v>0</v>
      </c>
      <c r="P6" s="624"/>
      <c r="Q6" s="315"/>
      <c r="R6" s="315"/>
      <c r="S6" s="506"/>
      <c r="T6" s="506"/>
    </row>
    <row r="7" spans="1:20" ht="15" thickBot="1" x14ac:dyDescent="0.35">
      <c r="B7" s="656"/>
      <c r="H7" s="412"/>
      <c r="I7" s="752" t="s">
        <v>17</v>
      </c>
      <c r="J7" s="752">
        <f>SUM(J2:J6)</f>
        <v>1</v>
      </c>
      <c r="K7" s="752">
        <f t="shared" ref="K7:M7" si="0">SUM(K2:K6)</f>
        <v>1</v>
      </c>
      <c r="L7" s="752">
        <f t="shared" si="0"/>
        <v>1</v>
      </c>
      <c r="M7" s="752">
        <f t="shared" si="0"/>
        <v>1</v>
      </c>
      <c r="N7" s="752">
        <f>SUM(N2:N6)</f>
        <v>1</v>
      </c>
      <c r="O7" s="752">
        <f>SUM(O2:O6)</f>
        <v>1</v>
      </c>
      <c r="P7" s="624"/>
      <c r="Q7" s="315"/>
      <c r="R7" s="315"/>
      <c r="S7" s="506"/>
      <c r="T7" s="506"/>
    </row>
    <row r="8" spans="1:20" ht="15" thickBot="1" x14ac:dyDescent="0.35">
      <c r="A8" s="604" t="s">
        <v>91</v>
      </c>
      <c r="B8" s="605" t="s">
        <v>61</v>
      </c>
      <c r="C8" s="605" t="s">
        <v>60</v>
      </c>
      <c r="D8" s="605" t="s">
        <v>13</v>
      </c>
      <c r="I8" s="315"/>
      <c r="J8" s="315"/>
      <c r="K8" s="315"/>
      <c r="L8" s="315"/>
      <c r="M8" s="315"/>
      <c r="N8" s="315"/>
      <c r="O8" s="315"/>
      <c r="P8" s="315"/>
      <c r="Q8" s="315"/>
      <c r="R8" s="315"/>
      <c r="S8" s="506"/>
      <c r="T8" s="506"/>
    </row>
    <row r="9" spans="1:20" x14ac:dyDescent="0.3">
      <c r="A9" s="606" t="s">
        <v>38</v>
      </c>
      <c r="B9" s="609"/>
      <c r="C9" s="609">
        <v>6</v>
      </c>
      <c r="D9" s="610">
        <f>B9/C9</f>
        <v>0</v>
      </c>
      <c r="F9" s="315"/>
      <c r="G9" s="315"/>
      <c r="I9" s="315"/>
      <c r="J9" s="315"/>
      <c r="K9" s="315"/>
      <c r="L9" s="315"/>
      <c r="M9" s="315"/>
      <c r="N9" s="315"/>
      <c r="O9" s="315"/>
      <c r="P9" s="315"/>
      <c r="Q9" s="315"/>
      <c r="R9" s="315"/>
      <c r="S9" s="506"/>
      <c r="T9" s="506"/>
    </row>
    <row r="10" spans="1:20" x14ac:dyDescent="0.3">
      <c r="A10" s="607" t="s">
        <v>39</v>
      </c>
      <c r="B10" s="611"/>
      <c r="C10" s="612">
        <v>10</v>
      </c>
      <c r="D10" s="613">
        <f t="shared" ref="D10:D12" si="1">B10/C10</f>
        <v>0</v>
      </c>
      <c r="F10" s="315"/>
      <c r="I10" s="315"/>
      <c r="J10" s="315"/>
      <c r="K10" s="315"/>
      <c r="L10" s="315"/>
      <c r="M10" s="315"/>
      <c r="N10" s="315"/>
      <c r="O10" s="315"/>
      <c r="P10" s="315"/>
      <c r="Q10" s="315"/>
      <c r="R10" s="315"/>
      <c r="S10" s="506"/>
      <c r="T10" s="506"/>
    </row>
    <row r="11" spans="1:20" x14ac:dyDescent="0.3">
      <c r="A11" s="607" t="s">
        <v>92</v>
      </c>
      <c r="B11" s="614"/>
      <c r="C11" s="615">
        <v>4</v>
      </c>
      <c r="D11" s="616">
        <f t="shared" si="1"/>
        <v>0</v>
      </c>
      <c r="F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506"/>
      <c r="T11" s="506"/>
    </row>
    <row r="12" spans="1:20" ht="15" thickBot="1" x14ac:dyDescent="0.35">
      <c r="A12" s="607" t="s">
        <v>4</v>
      </c>
      <c r="B12" s="617"/>
      <c r="C12" s="612">
        <v>40</v>
      </c>
      <c r="D12" s="613">
        <f t="shared" si="1"/>
        <v>0</v>
      </c>
      <c r="I12" s="315"/>
      <c r="J12" s="315"/>
      <c r="K12" s="315"/>
      <c r="L12" s="315"/>
      <c r="M12" s="315"/>
      <c r="N12" s="315"/>
      <c r="O12" s="315"/>
      <c r="P12" s="315"/>
      <c r="Q12" s="315"/>
      <c r="R12" s="315"/>
      <c r="S12" s="506"/>
      <c r="T12" s="506"/>
    </row>
    <row r="13" spans="1:20" ht="15" thickBot="1" x14ac:dyDescent="0.35">
      <c r="A13" s="607" t="s">
        <v>5</v>
      </c>
      <c r="B13" s="614"/>
      <c r="C13" s="615">
        <v>40</v>
      </c>
      <c r="D13" s="618">
        <f>B13/C13</f>
        <v>0</v>
      </c>
      <c r="E13" s="622" t="s">
        <v>23</v>
      </c>
      <c r="F13" s="280" t="s">
        <v>50</v>
      </c>
      <c r="I13" s="506"/>
      <c r="J13" s="506"/>
      <c r="K13" s="506"/>
      <c r="L13" s="506"/>
      <c r="M13" s="506"/>
      <c r="N13" s="506"/>
      <c r="O13" s="506"/>
      <c r="P13" s="506"/>
      <c r="Q13" s="506"/>
      <c r="R13" s="506"/>
      <c r="S13" s="506"/>
      <c r="T13" s="506"/>
    </row>
    <row r="14" spans="1:20" ht="15" thickBot="1" x14ac:dyDescent="0.35">
      <c r="A14" s="608" t="s">
        <v>8</v>
      </c>
      <c r="B14" s="619">
        <f>SUM(B9:B13)</f>
        <v>0</v>
      </c>
      <c r="C14" s="620">
        <f>SUM(C9:C13)</f>
        <v>100</v>
      </c>
      <c r="D14" s="621">
        <f>B14/C14</f>
        <v>0</v>
      </c>
      <c r="E14" s="623">
        <f>K7</f>
        <v>1</v>
      </c>
      <c r="F14" s="276">
        <f>IF($E$14 &gt;1, 5, 0)</f>
        <v>0</v>
      </c>
      <c r="I14" s="506"/>
      <c r="J14" s="506"/>
      <c r="K14" s="506"/>
      <c r="L14" s="506"/>
      <c r="M14" s="506"/>
      <c r="N14" s="506"/>
      <c r="O14" s="506"/>
      <c r="P14" s="506"/>
      <c r="Q14" s="506"/>
      <c r="R14" s="506"/>
      <c r="S14" s="506"/>
      <c r="T14" s="506"/>
    </row>
    <row r="15" spans="1:20" x14ac:dyDescent="0.3">
      <c r="I15" s="506"/>
      <c r="J15" s="506"/>
      <c r="K15" s="506"/>
      <c r="L15" s="506"/>
      <c r="M15" s="506"/>
      <c r="N15" s="506"/>
      <c r="O15" s="506"/>
      <c r="P15" s="506"/>
      <c r="Q15" s="506"/>
      <c r="R15" s="506"/>
      <c r="S15" s="506"/>
      <c r="T15" s="506"/>
    </row>
    <row r="16" spans="1:20" ht="15" thickBot="1" x14ac:dyDescent="0.35">
      <c r="K16" s="506"/>
      <c r="L16" s="506"/>
      <c r="M16" s="506"/>
      <c r="N16" s="506"/>
      <c r="O16" s="506"/>
      <c r="P16" s="506"/>
      <c r="Q16" s="506"/>
      <c r="R16" s="506"/>
      <c r="S16" s="506"/>
      <c r="T16" s="506"/>
    </row>
    <row r="17" spans="1:6" ht="15" thickBot="1" x14ac:dyDescent="0.35">
      <c r="A17" s="321" t="s">
        <v>97</v>
      </c>
      <c r="B17" s="322" t="s">
        <v>6</v>
      </c>
      <c r="C17" s="323" t="s">
        <v>60</v>
      </c>
      <c r="D17" s="324" t="s">
        <v>13</v>
      </c>
      <c r="E17" s="558"/>
      <c r="F17" s="315"/>
    </row>
    <row r="18" spans="1:6" x14ac:dyDescent="0.3">
      <c r="A18" s="653" t="s">
        <v>1</v>
      </c>
      <c r="B18" s="651"/>
      <c r="C18" s="326">
        <v>15</v>
      </c>
      <c r="D18" s="327">
        <f>B18/C18</f>
        <v>0</v>
      </c>
      <c r="E18" s="328" t="s">
        <v>80</v>
      </c>
      <c r="F18" s="315"/>
    </row>
    <row r="19" spans="1:6" ht="15" thickBot="1" x14ac:dyDescent="0.35">
      <c r="A19" s="654" t="s">
        <v>72</v>
      </c>
      <c r="B19" s="652"/>
      <c r="C19" s="319">
        <v>15</v>
      </c>
      <c r="D19" s="331">
        <f t="shared" ref="D19:D20" si="2">B19/C19</f>
        <v>0</v>
      </c>
      <c r="F19" s="315"/>
    </row>
    <row r="20" spans="1:6" ht="15" thickBot="1" x14ac:dyDescent="0.35">
      <c r="A20" s="654" t="s">
        <v>4</v>
      </c>
      <c r="B20" s="434"/>
      <c r="C20" s="320">
        <v>30</v>
      </c>
      <c r="D20" s="327">
        <f t="shared" si="2"/>
        <v>0</v>
      </c>
      <c r="F20" s="315"/>
    </row>
    <row r="21" spans="1:6" x14ac:dyDescent="0.3">
      <c r="A21" s="654" t="s">
        <v>5</v>
      </c>
      <c r="B21" s="435"/>
      <c r="C21" s="319">
        <v>40</v>
      </c>
      <c r="D21" s="331">
        <f>B21/C21</f>
        <v>0</v>
      </c>
      <c r="E21" s="333" t="s">
        <v>14</v>
      </c>
      <c r="F21" s="280" t="s">
        <v>50</v>
      </c>
    </row>
    <row r="22" spans="1:6" ht="15" thickBot="1" x14ac:dyDescent="0.35">
      <c r="A22" s="334" t="s">
        <v>8</v>
      </c>
      <c r="B22" s="566">
        <f>SUM(B18:B21)</f>
        <v>0</v>
      </c>
      <c r="C22" s="335">
        <v>100</v>
      </c>
      <c r="D22" s="336">
        <f>B22/C22</f>
        <v>0</v>
      </c>
      <c r="E22" s="337">
        <f>L7</f>
        <v>1</v>
      </c>
      <c r="F22" s="276">
        <f>IF($E$22 &gt;1, 4, 0)</f>
        <v>0</v>
      </c>
    </row>
    <row r="23" spans="1:6" x14ac:dyDescent="0.3">
      <c r="F23" s="315"/>
    </row>
    <row r="24" spans="1:6" ht="15" thickBot="1" x14ac:dyDescent="0.35"/>
    <row r="25" spans="1:6" ht="15" thickBot="1" x14ac:dyDescent="0.35">
      <c r="A25" s="189" t="s">
        <v>98</v>
      </c>
      <c r="B25" s="190" t="s">
        <v>6</v>
      </c>
      <c r="C25" s="191" t="s">
        <v>60</v>
      </c>
      <c r="D25" s="192" t="s">
        <v>13</v>
      </c>
      <c r="F25" s="315"/>
    </row>
    <row r="26" spans="1:6" x14ac:dyDescent="0.3">
      <c r="A26" s="649" t="s">
        <v>72</v>
      </c>
      <c r="B26" s="646"/>
      <c r="C26" s="197">
        <v>10</v>
      </c>
      <c r="D26" s="198">
        <f>B26/C26</f>
        <v>0</v>
      </c>
      <c r="E26" s="316"/>
    </row>
    <row r="27" spans="1:6" ht="15" thickBot="1" x14ac:dyDescent="0.35">
      <c r="A27" s="650" t="s">
        <v>4</v>
      </c>
      <c r="B27" s="647"/>
      <c r="C27" s="200">
        <v>50</v>
      </c>
      <c r="D27" s="201">
        <f t="shared" ref="D27:D29" si="3">B27/C27</f>
        <v>0</v>
      </c>
      <c r="E27" s="316"/>
    </row>
    <row r="28" spans="1:6" x14ac:dyDescent="0.3">
      <c r="A28" s="650" t="s">
        <v>5</v>
      </c>
      <c r="B28" s="648"/>
      <c r="C28" s="202">
        <v>40</v>
      </c>
      <c r="D28" s="203">
        <f t="shared" si="3"/>
        <v>0</v>
      </c>
      <c r="E28" s="193" t="s">
        <v>14</v>
      </c>
      <c r="F28" s="280" t="s">
        <v>50</v>
      </c>
    </row>
    <row r="29" spans="1:6" ht="15" thickBot="1" x14ac:dyDescent="0.35">
      <c r="A29" s="188" t="s">
        <v>8</v>
      </c>
      <c r="B29" s="204"/>
      <c r="C29" s="205">
        <v>100</v>
      </c>
      <c r="D29" s="207">
        <f t="shared" si="3"/>
        <v>0</v>
      </c>
      <c r="E29" s="557">
        <f>M7</f>
        <v>1</v>
      </c>
      <c r="F29" s="276">
        <f>IF($E$29 &gt;1, 7, 0)</f>
        <v>0</v>
      </c>
    </row>
    <row r="30" spans="1:6" x14ac:dyDescent="0.3">
      <c r="F30" s="315"/>
    </row>
    <row r="31" spans="1:6" ht="15" thickBot="1" x14ac:dyDescent="0.35"/>
    <row r="32" spans="1:6" ht="15" thickBot="1" x14ac:dyDescent="0.35">
      <c r="A32" s="625" t="s">
        <v>99</v>
      </c>
      <c r="B32" s="626" t="s">
        <v>61</v>
      </c>
      <c r="C32" s="627" t="s">
        <v>60</v>
      </c>
      <c r="D32" s="628" t="s">
        <v>13</v>
      </c>
      <c r="F32" s="315"/>
    </row>
    <row r="33" spans="1:7" x14ac:dyDescent="0.3">
      <c r="A33" s="629" t="s">
        <v>72</v>
      </c>
      <c r="B33" s="632"/>
      <c r="C33" s="633">
        <v>6</v>
      </c>
      <c r="D33" s="634">
        <f>B33/C33</f>
        <v>0</v>
      </c>
      <c r="E33" s="361"/>
    </row>
    <row r="34" spans="1:7" ht="15" thickBot="1" x14ac:dyDescent="0.35">
      <c r="A34" s="630" t="s">
        <v>4</v>
      </c>
      <c r="B34" s="638"/>
      <c r="C34" s="639">
        <v>38</v>
      </c>
      <c r="D34" s="640">
        <f t="shared" ref="D34" si="4">B34/C34</f>
        <v>0</v>
      </c>
      <c r="E34" s="361"/>
    </row>
    <row r="35" spans="1:7" x14ac:dyDescent="0.3">
      <c r="A35" s="630" t="s">
        <v>5</v>
      </c>
      <c r="B35" s="635"/>
      <c r="C35" s="636">
        <v>56</v>
      </c>
      <c r="D35" s="637">
        <f>B35/C35</f>
        <v>0</v>
      </c>
      <c r="E35" s="645" t="s">
        <v>23</v>
      </c>
      <c r="F35" s="280" t="s">
        <v>50</v>
      </c>
    </row>
    <row r="36" spans="1:7" ht="15" thickBot="1" x14ac:dyDescent="0.35">
      <c r="A36" s="631" t="s">
        <v>8</v>
      </c>
      <c r="B36" s="641">
        <f>SUM(B32:B35)</f>
        <v>0</v>
      </c>
      <c r="C36" s="642">
        <f>SUM(C33:C35)</f>
        <v>100</v>
      </c>
      <c r="D36" s="643">
        <f>B36/C36</f>
        <v>0</v>
      </c>
      <c r="E36" s="644">
        <f>N7</f>
        <v>1</v>
      </c>
      <c r="F36" s="276">
        <f>IF($E$36 &gt;1, 6, 0)</f>
        <v>0</v>
      </c>
    </row>
    <row r="39" spans="1:7" ht="15" thickBot="1" x14ac:dyDescent="0.35"/>
    <row r="40" spans="1:7" ht="15" thickBot="1" x14ac:dyDescent="0.35">
      <c r="A40" s="657" t="s">
        <v>100</v>
      </c>
      <c r="B40" s="659" t="s">
        <v>61</v>
      </c>
      <c r="C40" s="660" t="s">
        <v>60</v>
      </c>
      <c r="D40" s="658" t="s">
        <v>13</v>
      </c>
      <c r="E40" s="363"/>
    </row>
    <row r="41" spans="1:7" x14ac:dyDescent="0.3">
      <c r="A41" s="672" t="s">
        <v>27</v>
      </c>
      <c r="B41" s="663"/>
      <c r="C41" s="664">
        <v>30</v>
      </c>
      <c r="D41" s="665">
        <f t="shared" ref="D41:D44" si="5">B41/C41</f>
        <v>0</v>
      </c>
      <c r="E41" s="363"/>
    </row>
    <row r="42" spans="1:7" ht="15" thickBot="1" x14ac:dyDescent="0.35">
      <c r="A42" s="674" t="s">
        <v>4</v>
      </c>
      <c r="B42" s="666"/>
      <c r="C42" s="667">
        <v>35</v>
      </c>
      <c r="D42" s="668">
        <f t="shared" si="5"/>
        <v>0</v>
      </c>
      <c r="E42" s="363"/>
    </row>
    <row r="43" spans="1:7" x14ac:dyDescent="0.3">
      <c r="A43" s="672" t="s">
        <v>5</v>
      </c>
      <c r="B43" s="663"/>
      <c r="C43" s="664">
        <v>35</v>
      </c>
      <c r="D43" s="665">
        <f t="shared" si="5"/>
        <v>0</v>
      </c>
      <c r="E43" s="671" t="s">
        <v>23</v>
      </c>
      <c r="F43" s="365" t="s">
        <v>50</v>
      </c>
    </row>
    <row r="44" spans="1:7" ht="15" thickBot="1" x14ac:dyDescent="0.35">
      <c r="A44" s="673" t="s">
        <v>8</v>
      </c>
      <c r="B44" s="669">
        <f>SUM(B41:B43)</f>
        <v>0</v>
      </c>
      <c r="C44" s="661">
        <f>SUM(C41:C43)</f>
        <v>100</v>
      </c>
      <c r="D44" s="662">
        <f t="shared" si="5"/>
        <v>0</v>
      </c>
      <c r="E44" s="670">
        <f>O7</f>
        <v>1</v>
      </c>
      <c r="F44" s="366">
        <f>IF($E$44 &gt;1, 2, 0)</f>
        <v>0</v>
      </c>
    </row>
    <row r="48" spans="1:7" x14ac:dyDescent="0.3">
      <c r="B48" s="309"/>
      <c r="C48" s="309"/>
      <c r="D48" s="309"/>
      <c r="E48" s="309"/>
      <c r="F48" s="309"/>
      <c r="G48" s="309"/>
    </row>
    <row r="49" spans="2:7" x14ac:dyDescent="0.3">
      <c r="B49" s="309"/>
      <c r="C49" s="309"/>
      <c r="D49" s="309"/>
      <c r="E49" s="309"/>
      <c r="F49" s="309"/>
      <c r="G49" s="309"/>
    </row>
    <row r="50" spans="2:7" x14ac:dyDescent="0.3">
      <c r="B50" s="309"/>
      <c r="C50" s="309"/>
      <c r="D50" s="309"/>
      <c r="E50" s="309"/>
      <c r="F50" s="309"/>
      <c r="G50" s="309"/>
    </row>
    <row r="51" spans="2:7" x14ac:dyDescent="0.3">
      <c r="B51" s="309"/>
      <c r="C51" s="309"/>
      <c r="D51" s="309"/>
      <c r="E51" s="309"/>
      <c r="F51" s="309"/>
      <c r="G51" s="309"/>
    </row>
    <row r="52" spans="2:7" x14ac:dyDescent="0.3">
      <c r="B52" s="309"/>
      <c r="C52" s="309"/>
      <c r="D52" s="309"/>
      <c r="E52" s="309"/>
      <c r="F52" s="309"/>
      <c r="G52" s="309"/>
    </row>
  </sheetData>
  <conditionalFormatting sqref="D2">
    <cfRule type="iconSet" priority="31">
      <iconSet iconSet="3Symbols2">
        <cfvo type="percent" val="0"/>
        <cfvo type="num" val="0.02"/>
        <cfvo type="num" val="0.02"/>
      </iconSet>
    </cfRule>
  </conditionalFormatting>
  <conditionalFormatting sqref="D6">
    <cfRule type="iconSet" priority="29">
      <iconSet iconSet="3Symbols2">
        <cfvo type="percent" val="0"/>
        <cfvo type="num" val="0.5"/>
        <cfvo type="num" val="0.5"/>
      </iconSet>
    </cfRule>
  </conditionalFormatting>
  <conditionalFormatting sqref="D9">
    <cfRule type="iconSet" priority="1">
      <iconSet iconSet="3Symbols2">
        <cfvo type="percent" val="0"/>
        <cfvo type="num" val="0.5"/>
        <cfvo type="num" val="0.5"/>
      </iconSet>
    </cfRule>
  </conditionalFormatting>
  <conditionalFormatting sqref="D9:D14">
    <cfRule type="dataBar" priority="2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{F5CD981B-AE7B-4227-ACB2-BC4BB65EFAC0}</x14:id>
        </ext>
      </extLst>
    </cfRule>
  </conditionalFormatting>
  <conditionalFormatting sqref="D14">
    <cfRule type="iconSet" priority="10">
      <iconSet iconSet="3Symbols2">
        <cfvo type="percent" val="0"/>
        <cfvo type="num" val="0.5"/>
        <cfvo type="num" val="0.5"/>
      </iconSet>
    </cfRule>
  </conditionalFormatting>
  <conditionalFormatting sqref="D18">
    <cfRule type="iconSet" priority="23">
      <iconSet iconSet="3Symbols2">
        <cfvo type="percent" val="0"/>
        <cfvo type="num" val="0.5"/>
        <cfvo type="num" val="0.5"/>
      </iconSet>
    </cfRule>
  </conditionalFormatting>
  <conditionalFormatting sqref="D18:D22">
    <cfRule type="dataBar" priority="2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{E6F6A9D5-E412-4003-9D57-918F9374CFD8}</x14:id>
        </ext>
      </extLst>
    </cfRule>
  </conditionalFormatting>
  <conditionalFormatting sqref="D19">
    <cfRule type="iconSet" priority="2">
      <iconSet iconSet="3Symbols2">
        <cfvo type="percent" val="0"/>
        <cfvo type="num" val="0.2"/>
        <cfvo type="num" val="0.2"/>
      </iconSet>
    </cfRule>
  </conditionalFormatting>
  <conditionalFormatting sqref="D22">
    <cfRule type="iconSet" priority="22">
      <iconSet iconSet="3Symbols2">
        <cfvo type="percent" val="0"/>
        <cfvo type="num" val="0.5"/>
        <cfvo type="num" val="0.5"/>
      </iconSet>
    </cfRule>
  </conditionalFormatting>
  <conditionalFormatting sqref="D29">
    <cfRule type="iconSet" priority="18">
      <iconSet iconSet="3Symbols2">
        <cfvo type="percent" val="0"/>
        <cfvo type="num" val="0.45"/>
        <cfvo type="num" val="0.45"/>
      </iconSet>
    </cfRule>
  </conditionalFormatting>
  <conditionalFormatting sqref="D36">
    <cfRule type="iconSet" priority="4">
      <iconSet iconSet="3Symbols2">
        <cfvo type="percent" val="0"/>
        <cfvo type="num" val="0.5"/>
        <cfvo type="num" val="0.5"/>
      </iconSet>
    </cfRule>
  </conditionalFormatting>
  <conditionalFormatting sqref="D44">
    <cfRule type="iconSet" priority="3">
      <iconSet iconSet="3Symbols2">
        <cfvo type="percent" val="0"/>
        <cfvo type="num" val="0.5"/>
        <cfvo type="num" val="0.5"/>
      </iconSet>
    </cfRule>
  </conditionalFormatting>
  <conditionalFormatting sqref="D53:D55 D2:D25 D46:D47 D38:D41 D44 D27:D36">
    <cfRule type="dataBar" priority="3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{F8203666-4E02-4374-B6DA-61556AEA5D86}</x14:id>
        </ext>
      </extLs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5CD981B-AE7B-4227-ACB2-BC4BB65EFAC0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D9:D14</xm:sqref>
        </x14:conditionalFormatting>
        <x14:conditionalFormatting xmlns:xm="http://schemas.microsoft.com/office/excel/2006/main">
          <x14:cfRule type="dataBar" id="{E6F6A9D5-E412-4003-9D57-918F9374CFD8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theme="2" tint="-0.249977111117893"/>
              <x14:negativeFillColor rgb="FFFF0000"/>
              <x14:negativeBorderColor rgb="FFFF0000"/>
              <x14:axisColor rgb="FF000000"/>
            </x14:dataBar>
          </x14:cfRule>
          <xm:sqref>D18:D22</xm:sqref>
        </x14:conditionalFormatting>
        <x14:conditionalFormatting xmlns:xm="http://schemas.microsoft.com/office/excel/2006/main">
          <x14:cfRule type="dataBar" id="{F8203666-4E02-4374-B6DA-61556AEA5D86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D53:D55 D2:D25 D46:D47 D38:D41 D44 D27:D36</xm:sqref>
        </x14:conditionalFormatting>
        <x14:conditionalFormatting xmlns:xm="http://schemas.microsoft.com/office/excel/2006/main">
          <x14:cfRule type="iconSet" priority="20" id="{6BEE8E8A-8DDA-4B30-8283-D550137B0ABA}">
            <x14:iconSet iconSet="3Stars">
              <x14:cfvo type="percent">
                <xm:f>0</xm:f>
              </x14:cfvo>
              <x14:cfvo type="num">
                <xm:f>2</xm:f>
              </x14:cfvo>
              <x14:cfvo type="num">
                <xm:f>2</xm:f>
              </x14:cfvo>
            </x14:iconSet>
          </x14:cfRule>
          <xm:sqref>E6</xm:sqref>
        </x14:conditionalFormatting>
        <x14:conditionalFormatting xmlns:xm="http://schemas.microsoft.com/office/excel/2006/main">
          <x14:cfRule type="iconSet" priority="21" id="{C836B566-D5B7-4462-AFBE-82BEBB183AEC}">
            <x14:iconSet iconSet="3Stars">
              <x14:cfvo type="percent">
                <xm:f>0</xm:f>
              </x14:cfvo>
              <x14:cfvo type="num">
                <xm:f>2</xm:f>
              </x14:cfvo>
              <x14:cfvo type="num">
                <xm:f>2</xm:f>
              </x14:cfvo>
            </x14:iconSet>
          </x14:cfRule>
          <xm:sqref>E14</xm:sqref>
        </x14:conditionalFormatting>
        <x14:conditionalFormatting xmlns:xm="http://schemas.microsoft.com/office/excel/2006/main">
          <x14:cfRule type="iconSet" priority="25" id="{C64B5D05-BA9A-4F7D-96B9-9FC1B65761E7}">
            <x14:iconSet iconSet="3Stars">
              <x14:cfvo type="percent">
                <xm:f>0</xm:f>
              </x14:cfvo>
              <x14:cfvo type="num">
                <xm:f>2</xm:f>
              </x14:cfvo>
              <x14:cfvo type="num">
                <xm:f>2</xm:f>
              </x14:cfvo>
            </x14:iconSet>
          </x14:cfRule>
          <xm:sqref>E22</xm:sqref>
        </x14:conditionalFormatting>
        <x14:conditionalFormatting xmlns:xm="http://schemas.microsoft.com/office/excel/2006/main">
          <x14:cfRule type="iconSet" priority="19" id="{328A60BA-3844-4D5C-AD68-2CFEAE79CCF0}">
            <x14:iconSet iconSet="3Stars">
              <x14:cfvo type="percent">
                <xm:f>0</xm:f>
              </x14:cfvo>
              <x14:cfvo type="num">
                <xm:f>2</xm:f>
              </x14:cfvo>
              <x14:cfvo type="num">
                <xm:f>2</xm:f>
              </x14:cfvo>
            </x14:iconSet>
          </x14:cfRule>
          <xm:sqref>E29</xm:sqref>
        </x14:conditionalFormatting>
        <x14:conditionalFormatting xmlns:xm="http://schemas.microsoft.com/office/excel/2006/main">
          <x14:cfRule type="iconSet" priority="16" id="{89C2B8CB-3782-4371-ACAA-40277A417AA3}">
            <x14:iconSet iconSet="3Stars">
              <x14:cfvo type="percent">
                <xm:f>0</xm:f>
              </x14:cfvo>
              <x14:cfvo type="num">
                <xm:f>2</xm:f>
              </x14:cfvo>
              <x14:cfvo type="num">
                <xm:f>2</xm:f>
              </x14:cfvo>
            </x14:iconSet>
          </x14:cfRule>
          <xm:sqref>E36</xm:sqref>
        </x14:conditionalFormatting>
        <x14:conditionalFormatting xmlns:xm="http://schemas.microsoft.com/office/excel/2006/main">
          <x14:cfRule type="iconSet" priority="13" id="{B17F3BAA-6143-4335-8BE5-A4F6E328E035}">
            <x14:iconSet iconSet="3Stars">
              <x14:cfvo type="percent">
                <xm:f>0</xm:f>
              </x14:cfvo>
              <x14:cfvo type="num">
                <xm:f>2</xm:f>
              </x14:cfvo>
              <x14:cfvo type="num">
                <xm:f>2</xm:f>
              </x14:cfvo>
            </x14:iconSet>
          </x14:cfRule>
          <xm:sqref>E44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102AE-01C1-409E-A4F4-8667379BC373}">
  <sheetPr>
    <tabColor theme="8" tint="0.59999389629810485"/>
  </sheetPr>
  <dimension ref="A1:Q45"/>
  <sheetViews>
    <sheetView workbookViewId="0">
      <selection activeCell="G36" sqref="G36"/>
    </sheetView>
  </sheetViews>
  <sheetFormatPr defaultColWidth="8.88671875" defaultRowHeight="14.4" x14ac:dyDescent="0.3"/>
  <cols>
    <col min="1" max="1" width="14.6640625" style="338" customWidth="1"/>
    <col min="2" max="2" width="13" style="309" customWidth="1"/>
    <col min="3" max="3" width="8.88671875" style="338"/>
    <col min="4" max="4" width="12.33203125" style="411" customWidth="1"/>
    <col min="5" max="6" width="8.88671875" style="302"/>
    <col min="7" max="7" width="14.109375" style="302" customWidth="1"/>
    <col min="8" max="9" width="8.88671875" style="302"/>
    <col min="10" max="10" width="15.44140625" style="338" bestFit="1" customWidth="1"/>
    <col min="11" max="16384" width="8.88671875" style="302"/>
  </cols>
  <sheetData>
    <row r="1" spans="1:17" ht="15" thickBot="1" x14ac:dyDescent="0.35">
      <c r="A1" s="675" t="s">
        <v>104</v>
      </c>
      <c r="B1" s="676" t="s">
        <v>61</v>
      </c>
      <c r="C1" s="677" t="s">
        <v>60</v>
      </c>
      <c r="D1" s="678" t="s">
        <v>13</v>
      </c>
      <c r="F1" s="279" t="s">
        <v>55</v>
      </c>
      <c r="J1" s="751" t="s">
        <v>73</v>
      </c>
      <c r="K1" s="751" t="s">
        <v>104</v>
      </c>
      <c r="L1" s="751" t="s">
        <v>103</v>
      </c>
      <c r="M1" s="751" t="s">
        <v>105</v>
      </c>
      <c r="N1" s="751" t="s">
        <v>106</v>
      </c>
      <c r="O1" s="751" t="s">
        <v>107</v>
      </c>
      <c r="P1" s="752" t="s">
        <v>102</v>
      </c>
      <c r="Q1" s="316"/>
    </row>
    <row r="2" spans="1:17" ht="15" thickBot="1" x14ac:dyDescent="0.35">
      <c r="A2" s="679" t="s">
        <v>38</v>
      </c>
      <c r="B2" s="754"/>
      <c r="C2" s="754">
        <v>32</v>
      </c>
      <c r="D2" s="755">
        <f>B2/C2</f>
        <v>0</v>
      </c>
      <c r="F2" s="277" t="e">
        <f>SUM(F6:F45)</f>
        <v>#REF!</v>
      </c>
      <c r="J2" s="751">
        <v>1</v>
      </c>
      <c r="K2" s="752">
        <v>1</v>
      </c>
      <c r="L2" s="752">
        <v>1</v>
      </c>
      <c r="M2" s="752">
        <v>1</v>
      </c>
      <c r="N2" s="752">
        <v>1</v>
      </c>
      <c r="O2" s="752">
        <v>1</v>
      </c>
      <c r="P2" s="752">
        <v>1</v>
      </c>
      <c r="Q2" s="316"/>
    </row>
    <row r="3" spans="1:17" x14ac:dyDescent="0.3">
      <c r="A3" s="680" t="s">
        <v>5</v>
      </c>
      <c r="B3" s="682"/>
      <c r="C3" s="682">
        <v>8</v>
      </c>
      <c r="D3" s="683">
        <f t="shared" ref="D3" si="0">B3/C3</f>
        <v>0</v>
      </c>
      <c r="J3" s="751">
        <v>2</v>
      </c>
      <c r="K3" s="752">
        <f>IF($B6 &gt;= 50, 1, 0)</f>
        <v>0</v>
      </c>
      <c r="L3" s="752">
        <f>IF($B$14 &gt;= 50, 1, 0)</f>
        <v>0</v>
      </c>
      <c r="M3" s="752">
        <f>IF($B$22 &gt;= 50, 1, 0)</f>
        <v>0</v>
      </c>
      <c r="N3" s="752">
        <f>IF($B$29 &gt;= 50, 1,)</f>
        <v>0</v>
      </c>
      <c r="O3" s="752">
        <f>IF($B$38 &gt;= 50, 1,)</f>
        <v>0</v>
      </c>
      <c r="P3" s="752">
        <f>IF($B$45 &gt;= 50, 1,)</f>
        <v>0</v>
      </c>
      <c r="Q3" s="316"/>
    </row>
    <row r="4" spans="1:17" ht="15" thickBot="1" x14ac:dyDescent="0.35">
      <c r="A4" s="680" t="s">
        <v>4</v>
      </c>
      <c r="B4" s="684"/>
      <c r="C4" s="685">
        <v>30</v>
      </c>
      <c r="D4" s="686">
        <f t="shared" ref="D4:D6" si="1">B4/C4</f>
        <v>0</v>
      </c>
      <c r="F4" s="316"/>
      <c r="J4" s="751">
        <v>3</v>
      </c>
      <c r="K4" s="752">
        <f>IF($B$6 &gt;= 62.5, 1, 0)</f>
        <v>0</v>
      </c>
      <c r="L4" s="752">
        <f>IF($B$14 &gt;= 60, 1, 0)</f>
        <v>0</v>
      </c>
      <c r="M4" s="752">
        <f>IF($B$22 &gt;= 63, 1, 0)</f>
        <v>0</v>
      </c>
      <c r="N4" s="752">
        <f>IF($B$29 &gt;= 62.5, 1,)</f>
        <v>0</v>
      </c>
      <c r="O4" s="752">
        <f>IF($B$38 &gt;= 63, 1,)</f>
        <v>0</v>
      </c>
      <c r="P4" s="752">
        <f>IF($B$45 &gt;= 60, 1,)</f>
        <v>0</v>
      </c>
      <c r="Q4" s="316"/>
    </row>
    <row r="5" spans="1:17" x14ac:dyDescent="0.3">
      <c r="A5" s="680" t="s">
        <v>5</v>
      </c>
      <c r="B5" s="682"/>
      <c r="C5" s="682">
        <v>30</v>
      </c>
      <c r="D5" s="683">
        <f t="shared" si="1"/>
        <v>0</v>
      </c>
      <c r="E5" s="691" t="s">
        <v>23</v>
      </c>
      <c r="F5" s="280" t="s">
        <v>50</v>
      </c>
      <c r="J5" s="751">
        <v>4</v>
      </c>
      <c r="K5" s="752">
        <f>IF($B$6 &gt;= 75, 1, 0)</f>
        <v>0</v>
      </c>
      <c r="L5" s="752">
        <f>IF($B$14 &gt;= 70, 1, 0)</f>
        <v>0</v>
      </c>
      <c r="M5" s="752">
        <f>IF($B$22 &gt;= 75, 1, 0)</f>
        <v>0</v>
      </c>
      <c r="N5" s="752">
        <f>IF($B$29 &gt;= 75, 1,)</f>
        <v>0</v>
      </c>
      <c r="O5" s="752">
        <f>IF($B$38 &gt;= 75, 1,)</f>
        <v>0</v>
      </c>
      <c r="P5" s="752">
        <f>IF($B$45 &gt;= 75, 1,)</f>
        <v>0</v>
      </c>
      <c r="Q5" s="316"/>
    </row>
    <row r="6" spans="1:17" ht="15" thickBot="1" x14ac:dyDescent="0.35">
      <c r="A6" s="681" t="s">
        <v>54</v>
      </c>
      <c r="B6" s="687">
        <f>SUM(B2:B5)</f>
        <v>0</v>
      </c>
      <c r="C6" s="688">
        <f>SUM(C2:C5)</f>
        <v>100</v>
      </c>
      <c r="D6" s="689">
        <f t="shared" si="1"/>
        <v>0</v>
      </c>
      <c r="E6" s="690">
        <f>K7</f>
        <v>1</v>
      </c>
      <c r="F6" s="276">
        <f>IF($E$6 &gt;1, 6, 0)</f>
        <v>0</v>
      </c>
      <c r="J6" s="751">
        <v>5</v>
      </c>
      <c r="K6" s="752">
        <f>IF($B$6 &gt;= 87.5, 1, 0)</f>
        <v>0</v>
      </c>
      <c r="L6" s="752">
        <f>IF($B$14 &gt;= 85, 1, 0)</f>
        <v>0</v>
      </c>
      <c r="M6" s="752">
        <f>IF($B$22 &gt;= 88, 1, 0)</f>
        <v>0</v>
      </c>
      <c r="N6" s="752">
        <f>IF($B$29 &gt;= 87.5, 1,)</f>
        <v>0</v>
      </c>
      <c r="O6" s="752">
        <f>IF($B$38 &gt;= 88, 1,)</f>
        <v>0</v>
      </c>
      <c r="P6" s="752">
        <f>IF($B$45 &gt;= 85, 1,)</f>
        <v>0</v>
      </c>
      <c r="Q6" s="316"/>
    </row>
    <row r="7" spans="1:17" ht="15" thickBot="1" x14ac:dyDescent="0.35">
      <c r="J7" s="751" t="s">
        <v>17</v>
      </c>
      <c r="K7" s="752">
        <f t="shared" ref="K7:O7" si="2">SUM(K2:K6)</f>
        <v>1</v>
      </c>
      <c r="L7" s="752">
        <f t="shared" si="2"/>
        <v>1</v>
      </c>
      <c r="M7" s="752">
        <f t="shared" si="2"/>
        <v>1</v>
      </c>
      <c r="N7" s="752">
        <f t="shared" si="2"/>
        <v>1</v>
      </c>
      <c r="O7" s="752">
        <f t="shared" si="2"/>
        <v>1</v>
      </c>
      <c r="P7" s="752">
        <f>SUM(P2:P6)</f>
        <v>1</v>
      </c>
      <c r="Q7" s="316"/>
    </row>
    <row r="8" spans="1:17" ht="15" thickBot="1" x14ac:dyDescent="0.35">
      <c r="A8" s="760" t="s">
        <v>103</v>
      </c>
      <c r="B8" s="708" t="s">
        <v>61</v>
      </c>
      <c r="C8" s="709" t="s">
        <v>60</v>
      </c>
      <c r="D8" s="710" t="s">
        <v>13</v>
      </c>
      <c r="J8" s="692"/>
      <c r="K8" s="316"/>
      <c r="L8" s="316"/>
      <c r="M8" s="316"/>
      <c r="N8" s="316"/>
      <c r="O8" s="316"/>
      <c r="P8" s="316"/>
      <c r="Q8" s="316"/>
    </row>
    <row r="9" spans="1:17" x14ac:dyDescent="0.3">
      <c r="A9" s="693" t="s">
        <v>39</v>
      </c>
      <c r="B9" s="696"/>
      <c r="C9" s="697"/>
      <c r="D9" s="698"/>
      <c r="F9" s="315"/>
      <c r="J9" s="692"/>
      <c r="K9" s="316"/>
      <c r="L9" s="316"/>
      <c r="M9" s="316"/>
      <c r="N9" s="316"/>
      <c r="O9" s="316"/>
      <c r="P9" s="316"/>
      <c r="Q9" s="316"/>
    </row>
    <row r="10" spans="1:17" x14ac:dyDescent="0.3">
      <c r="A10" s="694" t="s">
        <v>38</v>
      </c>
      <c r="B10" s="702"/>
      <c r="C10" s="703"/>
      <c r="D10" s="758"/>
      <c r="E10" s="361"/>
      <c r="F10" s="315"/>
      <c r="J10" s="692"/>
      <c r="K10" s="316"/>
      <c r="L10" s="316"/>
      <c r="M10" s="316"/>
      <c r="N10" s="316"/>
      <c r="O10" s="316"/>
      <c r="P10" s="316"/>
      <c r="Q10" s="316"/>
    </row>
    <row r="11" spans="1:17" x14ac:dyDescent="0.3">
      <c r="A11" s="756" t="s">
        <v>72</v>
      </c>
      <c r="B11" s="696"/>
      <c r="C11" s="697">
        <v>10</v>
      </c>
      <c r="D11" s="757">
        <f>B11/C11</f>
        <v>0</v>
      </c>
      <c r="J11" s="733"/>
      <c r="K11" s="506"/>
      <c r="L11" s="506"/>
      <c r="M11" s="506"/>
      <c r="N11" s="506"/>
      <c r="O11" s="506"/>
      <c r="P11" s="506"/>
      <c r="Q11" s="506"/>
    </row>
    <row r="12" spans="1:17" ht="15" thickBot="1" x14ac:dyDescent="0.35">
      <c r="A12" s="694" t="s">
        <v>4</v>
      </c>
      <c r="B12" s="702"/>
      <c r="C12" s="703">
        <v>35</v>
      </c>
      <c r="D12" s="704">
        <f t="shared" ref="D12" si="3">B12/C12</f>
        <v>0</v>
      </c>
      <c r="J12" s="733"/>
      <c r="K12" s="506"/>
      <c r="L12" s="506"/>
      <c r="M12" s="506"/>
      <c r="N12" s="506"/>
      <c r="O12" s="506"/>
      <c r="P12" s="506"/>
      <c r="Q12" s="506"/>
    </row>
    <row r="13" spans="1:17" x14ac:dyDescent="0.3">
      <c r="A13" s="694" t="s">
        <v>5</v>
      </c>
      <c r="B13" s="700"/>
      <c r="C13" s="699">
        <v>55</v>
      </c>
      <c r="D13" s="701">
        <f>B13/C13</f>
        <v>0</v>
      </c>
      <c r="E13" s="711" t="s">
        <v>23</v>
      </c>
      <c r="F13" s="280" t="s">
        <v>50</v>
      </c>
      <c r="J13" s="733"/>
      <c r="K13" s="506"/>
      <c r="L13" s="506"/>
      <c r="M13" s="506"/>
      <c r="N13" s="506"/>
      <c r="O13" s="506"/>
      <c r="P13" s="506"/>
      <c r="Q13" s="506"/>
    </row>
    <row r="14" spans="1:17" ht="15" thickBot="1" x14ac:dyDescent="0.35">
      <c r="A14" s="695" t="s">
        <v>21</v>
      </c>
      <c r="B14" s="705">
        <f>SUM(B9:B13)</f>
        <v>0</v>
      </c>
      <c r="C14" s="706">
        <f>SUM(C9:C13)</f>
        <v>100</v>
      </c>
      <c r="D14" s="707">
        <f>B14/C14</f>
        <v>0</v>
      </c>
      <c r="E14" s="109">
        <f>L7</f>
        <v>1</v>
      </c>
      <c r="F14" s="276">
        <f>IF($E$14 &gt;1, 6, 0)</f>
        <v>0</v>
      </c>
      <c r="J14" s="733"/>
      <c r="K14" s="506"/>
      <c r="L14" s="506"/>
      <c r="M14" s="506"/>
      <c r="N14" s="506"/>
      <c r="O14" s="506"/>
      <c r="P14" s="506"/>
      <c r="Q14" s="506"/>
    </row>
    <row r="16" spans="1:17" ht="15" thickBot="1" x14ac:dyDescent="0.35"/>
    <row r="17" spans="1:6" ht="15" thickBot="1" x14ac:dyDescent="0.35">
      <c r="A17" s="759" t="s">
        <v>108</v>
      </c>
      <c r="B17" s="712" t="s">
        <v>61</v>
      </c>
      <c r="C17" s="713" t="s">
        <v>60</v>
      </c>
      <c r="D17" s="714" t="s">
        <v>13</v>
      </c>
    </row>
    <row r="18" spans="1:6" x14ac:dyDescent="0.3">
      <c r="A18" s="716" t="s">
        <v>72</v>
      </c>
      <c r="B18" s="724"/>
      <c r="C18" s="725">
        <v>10</v>
      </c>
      <c r="D18" s="726">
        <f t="shared" ref="D18" si="4">B18/C18</f>
        <v>0</v>
      </c>
      <c r="E18" s="309"/>
    </row>
    <row r="19" spans="1:6" x14ac:dyDescent="0.3">
      <c r="A19" s="715" t="s">
        <v>38</v>
      </c>
      <c r="B19" s="718"/>
      <c r="C19" s="719">
        <v>20</v>
      </c>
      <c r="D19" s="720">
        <f>B19/C19</f>
        <v>0</v>
      </c>
      <c r="E19" s="309" t="s">
        <v>109</v>
      </c>
    </row>
    <row r="20" spans="1:6" ht="15" thickBot="1" x14ac:dyDescent="0.35">
      <c r="A20" s="716" t="s">
        <v>4</v>
      </c>
      <c r="B20" s="724"/>
      <c r="C20" s="725">
        <v>30</v>
      </c>
      <c r="D20" s="726">
        <f t="shared" ref="D20:D22" si="5">B20/C20</f>
        <v>0</v>
      </c>
      <c r="E20" s="432"/>
      <c r="F20" s="315"/>
    </row>
    <row r="21" spans="1:6" x14ac:dyDescent="0.3">
      <c r="A21" s="716" t="s">
        <v>5</v>
      </c>
      <c r="B21" s="723"/>
      <c r="C21" s="721">
        <v>40</v>
      </c>
      <c r="D21" s="722">
        <f t="shared" si="5"/>
        <v>0</v>
      </c>
      <c r="E21" s="731" t="s">
        <v>23</v>
      </c>
      <c r="F21" s="280" t="s">
        <v>50</v>
      </c>
    </row>
    <row r="22" spans="1:6" ht="15" thickBot="1" x14ac:dyDescent="0.35">
      <c r="A22" s="717" t="s">
        <v>8</v>
      </c>
      <c r="B22" s="727">
        <f>SUM(B19:B21)</f>
        <v>0</v>
      </c>
      <c r="C22" s="728">
        <f>SUM(C18:C21)</f>
        <v>100</v>
      </c>
      <c r="D22" s="729">
        <f t="shared" si="5"/>
        <v>0</v>
      </c>
      <c r="E22" s="730">
        <f>M7</f>
        <v>1</v>
      </c>
      <c r="F22" s="276">
        <f>IF($E$22 &gt;1, 6, 0)</f>
        <v>0</v>
      </c>
    </row>
    <row r="25" spans="1:6" ht="15" thickBot="1" x14ac:dyDescent="0.35">
      <c r="A25" s="401" t="s">
        <v>106</v>
      </c>
      <c r="B25" s="561" t="s">
        <v>61</v>
      </c>
      <c r="C25" s="403" t="s">
        <v>60</v>
      </c>
      <c r="D25" s="408" t="s">
        <v>13</v>
      </c>
    </row>
    <row r="26" spans="1:6" x14ac:dyDescent="0.3">
      <c r="A26" s="306" t="s">
        <v>38</v>
      </c>
      <c r="B26" s="492"/>
      <c r="C26" s="407">
        <v>30</v>
      </c>
      <c r="D26" s="390">
        <f>B26/C26</f>
        <v>0</v>
      </c>
      <c r="E26" s="361"/>
      <c r="F26" s="315"/>
    </row>
    <row r="27" spans="1:6" ht="15" thickBot="1" x14ac:dyDescent="0.35">
      <c r="A27" s="307" t="s">
        <v>4</v>
      </c>
      <c r="B27" s="395"/>
      <c r="C27" s="395">
        <v>40</v>
      </c>
      <c r="D27" s="396">
        <f>B27/C27</f>
        <v>0</v>
      </c>
      <c r="F27" s="315"/>
    </row>
    <row r="28" spans="1:6" ht="15" thickBot="1" x14ac:dyDescent="0.35">
      <c r="A28" s="307" t="s">
        <v>5</v>
      </c>
      <c r="B28" s="492"/>
      <c r="C28" s="492">
        <v>40</v>
      </c>
      <c r="D28" s="393">
        <f>B28/C28</f>
        <v>0</v>
      </c>
      <c r="E28" s="405" t="s">
        <v>23</v>
      </c>
      <c r="F28" s="280" t="s">
        <v>50</v>
      </c>
    </row>
    <row r="29" spans="1:6" ht="15" thickBot="1" x14ac:dyDescent="0.35">
      <c r="A29" s="308" t="s">
        <v>8</v>
      </c>
      <c r="B29" s="732">
        <f>SUM(B26:B28)</f>
        <v>0</v>
      </c>
      <c r="C29" s="398">
        <v>100</v>
      </c>
      <c r="D29" s="399">
        <f>B29/C29</f>
        <v>0</v>
      </c>
      <c r="E29" s="400">
        <f>N7</f>
        <v>1</v>
      </c>
      <c r="F29" s="276">
        <f>IF($E$29 &gt;1, 6, 0)</f>
        <v>0</v>
      </c>
    </row>
    <row r="32" spans="1:6" ht="15" thickBot="1" x14ac:dyDescent="0.35"/>
    <row r="33" spans="1:6" ht="15" thickBot="1" x14ac:dyDescent="0.35">
      <c r="A33" s="734" t="s">
        <v>107</v>
      </c>
      <c r="B33" s="735" t="s">
        <v>61</v>
      </c>
      <c r="C33" s="736" t="s">
        <v>60</v>
      </c>
      <c r="D33" s="737" t="s">
        <v>13</v>
      </c>
    </row>
    <row r="34" spans="1:6" x14ac:dyDescent="0.3">
      <c r="A34" s="738" t="s">
        <v>38</v>
      </c>
      <c r="B34" s="741"/>
      <c r="C34" s="742">
        <v>30</v>
      </c>
      <c r="D34" s="743">
        <f>B34/C34</f>
        <v>0</v>
      </c>
    </row>
    <row r="35" spans="1:6" x14ac:dyDescent="0.3">
      <c r="A35" s="738" t="s">
        <v>92</v>
      </c>
      <c r="B35" s="744"/>
      <c r="C35" s="745">
        <v>10</v>
      </c>
      <c r="D35" s="746">
        <f>B35/C35</f>
        <v>0</v>
      </c>
      <c r="E35" s="317"/>
      <c r="F35" s="315"/>
    </row>
    <row r="36" spans="1:6" ht="15" thickBot="1" x14ac:dyDescent="0.35">
      <c r="A36" s="738" t="s">
        <v>4</v>
      </c>
      <c r="B36" s="741"/>
      <c r="C36" s="742">
        <v>30</v>
      </c>
      <c r="D36" s="743">
        <f>B36/C36</f>
        <v>0</v>
      </c>
      <c r="E36" s="447"/>
    </row>
    <row r="37" spans="1:6" x14ac:dyDescent="0.3">
      <c r="A37" s="738" t="s">
        <v>5</v>
      </c>
      <c r="B37" s="744"/>
      <c r="C37" s="745">
        <v>30</v>
      </c>
      <c r="D37" s="746">
        <f>B37/C37</f>
        <v>0</v>
      </c>
      <c r="E37" s="740" t="s">
        <v>23</v>
      </c>
      <c r="F37" s="280" t="s">
        <v>50</v>
      </c>
    </row>
    <row r="38" spans="1:6" ht="15" thickBot="1" x14ac:dyDescent="0.35">
      <c r="A38" s="739" t="s">
        <v>8</v>
      </c>
      <c r="B38" s="747">
        <f>SUM(B36:B37)</f>
        <v>0</v>
      </c>
      <c r="C38" s="748">
        <f>SUM(C34:C37)</f>
        <v>100</v>
      </c>
      <c r="D38" s="749">
        <f t="shared" ref="D38" si="6">B38/C38</f>
        <v>0</v>
      </c>
      <c r="E38" s="750">
        <f>O7</f>
        <v>1</v>
      </c>
      <c r="F38" s="276">
        <f>IF($E$38 &gt;1, 4, 0)</f>
        <v>0</v>
      </c>
    </row>
    <row r="40" spans="1:6" ht="15" thickBot="1" x14ac:dyDescent="0.35">
      <c r="F40" s="315"/>
    </row>
    <row r="41" spans="1:6" ht="15" thickBot="1" x14ac:dyDescent="0.35">
      <c r="A41" s="657" t="s">
        <v>100</v>
      </c>
      <c r="B41" s="659" t="s">
        <v>61</v>
      </c>
      <c r="C41" s="660" t="s">
        <v>60</v>
      </c>
      <c r="D41" s="658" t="s">
        <v>13</v>
      </c>
      <c r="E41" s="363"/>
    </row>
    <row r="42" spans="1:6" x14ac:dyDescent="0.3">
      <c r="A42" s="672" t="s">
        <v>27</v>
      </c>
      <c r="B42" s="663"/>
      <c r="C42" s="664">
        <v>30</v>
      </c>
      <c r="D42" s="665">
        <f t="shared" ref="D42:D45" si="7">B42/C42</f>
        <v>0</v>
      </c>
      <c r="E42" s="363"/>
    </row>
    <row r="43" spans="1:6" ht="15" thickBot="1" x14ac:dyDescent="0.35">
      <c r="A43" s="674" t="s">
        <v>4</v>
      </c>
      <c r="B43" s="666"/>
      <c r="C43" s="667">
        <v>35</v>
      </c>
      <c r="D43" s="668">
        <f t="shared" si="7"/>
        <v>0</v>
      </c>
      <c r="E43" s="363"/>
    </row>
    <row r="44" spans="1:6" x14ac:dyDescent="0.3">
      <c r="A44" s="672" t="s">
        <v>5</v>
      </c>
      <c r="B44" s="663"/>
      <c r="C44" s="664">
        <v>35</v>
      </c>
      <c r="D44" s="665">
        <f t="shared" si="7"/>
        <v>0</v>
      </c>
      <c r="E44" s="671" t="s">
        <v>23</v>
      </c>
      <c r="F44" s="365" t="s">
        <v>50</v>
      </c>
    </row>
    <row r="45" spans="1:6" ht="15" thickBot="1" x14ac:dyDescent="0.35">
      <c r="A45" s="673" t="s">
        <v>8</v>
      </c>
      <c r="B45" s="669">
        <f>SUM(B42:B44)</f>
        <v>0</v>
      </c>
      <c r="C45" s="661">
        <f>SUM(C42:C44)</f>
        <v>100</v>
      </c>
      <c r="D45" s="662">
        <f t="shared" si="7"/>
        <v>0</v>
      </c>
      <c r="E45" s="670">
        <f>O3</f>
        <v>0</v>
      </c>
      <c r="F45" s="366" t="e">
        <f>IF(#REF! &gt;1, 2, 0)</f>
        <v>#REF!</v>
      </c>
    </row>
  </sheetData>
  <conditionalFormatting sqref="D6">
    <cfRule type="iconSet" priority="23">
      <iconSet iconSet="3Symbols2">
        <cfvo type="percent" val="0"/>
        <cfvo type="num" val="0.45"/>
        <cfvo type="num" val="0.45"/>
      </iconSet>
    </cfRule>
  </conditionalFormatting>
  <conditionalFormatting sqref="D9:D12 D14">
    <cfRule type="dataBar" priority="2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{2FEEDD0A-543F-4042-BBDC-953C35647B55}</x14:id>
        </ext>
      </extLst>
    </cfRule>
  </conditionalFormatting>
  <conditionalFormatting sqref="D14">
    <cfRule type="iconSet" priority="6">
      <iconSet iconSet="3Symbols2">
        <cfvo type="percent" val="0"/>
        <cfvo type="num" val="0.5"/>
        <cfvo type="num" val="0.5"/>
      </iconSet>
    </cfRule>
  </conditionalFormatting>
  <conditionalFormatting sqref="D18:D22">
    <cfRule type="dataBar" priority="2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{B76CA2C7-3C08-4653-8EC6-AE6D537FBBE6}</x14:id>
        </ext>
      </extLst>
    </cfRule>
  </conditionalFormatting>
  <conditionalFormatting sqref="D19">
    <cfRule type="iconSet" priority="18">
      <iconSet iconSet="3Symbols2">
        <cfvo type="percent" val="0"/>
        <cfvo type="num" val="0.1"/>
        <cfvo type="num" val="0.1"/>
      </iconSet>
    </cfRule>
  </conditionalFormatting>
  <conditionalFormatting sqref="D22">
    <cfRule type="iconSet" priority="17">
      <iconSet iconSet="3Symbols2">
        <cfvo type="percent" val="0"/>
        <cfvo type="num" val="0.5"/>
        <cfvo type="num" val="0.5"/>
      </iconSet>
    </cfRule>
  </conditionalFormatting>
  <conditionalFormatting sqref="D26">
    <cfRule type="iconSet" priority="2">
      <iconSet iconSet="3Symbols2">
        <cfvo type="percent" val="0"/>
        <cfvo type="num" val="0.3"/>
        <cfvo type="num" val="0.3"/>
      </iconSet>
    </cfRule>
  </conditionalFormatting>
  <conditionalFormatting sqref="D26:D29 D34 D36:D38 D2:D6">
    <cfRule type="dataBar" priority="2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{F3B51172-4F17-4BF6-8A1E-EDD369CB0702}</x14:id>
        </ext>
      </extLst>
    </cfRule>
  </conditionalFormatting>
  <conditionalFormatting sqref="D28">
    <cfRule type="iconSet" priority="1">
      <iconSet iconSet="3Symbols2">
        <cfvo type="percent" val="0"/>
        <cfvo type="num" val="0.4"/>
        <cfvo type="num" val="0.4"/>
      </iconSet>
    </cfRule>
  </conditionalFormatting>
  <conditionalFormatting sqref="D29">
    <cfRule type="iconSet" priority="16">
      <iconSet iconSet="3Symbols2">
        <cfvo type="percent" val="0"/>
        <cfvo type="num" val="0.45"/>
        <cfvo type="num" val="0.45"/>
      </iconSet>
    </cfRule>
  </conditionalFormatting>
  <conditionalFormatting sqref="D34 D36:D37">
    <cfRule type="iconSet" priority="12">
      <iconSet iconSet="3Symbols2">
        <cfvo type="percent" val="0"/>
        <cfvo type="num" val="0.1"/>
        <cfvo type="num" val="0.1"/>
      </iconSet>
    </cfRule>
  </conditionalFormatting>
  <conditionalFormatting sqref="D38">
    <cfRule type="iconSet" priority="13">
      <iconSet iconSet="3Symbols2">
        <cfvo type="percent" val="0"/>
        <cfvo type="num" val="0.5"/>
        <cfvo type="num" val="0.5"/>
      </iconSet>
    </cfRule>
  </conditionalFormatting>
  <conditionalFormatting sqref="D41:D42 D45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{B7C17A9B-6D96-478A-8AF4-C320B0716C9F}</x14:id>
        </ext>
      </extLst>
    </cfRule>
  </conditionalFormatting>
  <conditionalFormatting sqref="D45">
    <cfRule type="iconSet" priority="3">
      <iconSet iconSet="3Symbols2">
        <cfvo type="percent" val="0"/>
        <cfvo type="num" val="0.5"/>
        <cfvo type="num" val="0.5"/>
      </iconSet>
    </cfRule>
  </conditionalFormatting>
  <hyperlinks>
    <hyperlink ref="A17" r:id="rId1" xr:uid="{E5D95ACE-5F9B-4DF5-A745-578730F36041}"/>
    <hyperlink ref="A8" r:id="rId2" xr:uid="{AE5B11F8-9609-4E06-ADE1-CE7FEA6A9C4C}"/>
  </hyperlinks>
  <pageMargins left="0.7" right="0.7" top="0.75" bottom="0.75" header="0.3" footer="0.3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FEEDD0A-543F-4042-BBDC-953C35647B55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D9:D12 D14</xm:sqref>
        </x14:conditionalFormatting>
        <x14:conditionalFormatting xmlns:xm="http://schemas.microsoft.com/office/excel/2006/main">
          <x14:cfRule type="dataBar" id="{B76CA2C7-3C08-4653-8EC6-AE6D537FBBE6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D18:D22</xm:sqref>
        </x14:conditionalFormatting>
        <x14:conditionalFormatting xmlns:xm="http://schemas.microsoft.com/office/excel/2006/main">
          <x14:cfRule type="dataBar" id="{F3B51172-4F17-4BF6-8A1E-EDD369CB0702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D26:D29 D34 D36:D38 D2:D6</xm:sqref>
        </x14:conditionalFormatting>
        <x14:conditionalFormatting xmlns:xm="http://schemas.microsoft.com/office/excel/2006/main">
          <x14:cfRule type="dataBar" id="{B7C17A9B-6D96-478A-8AF4-C320B0716C9F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D41:D42 D45</xm:sqref>
        </x14:conditionalFormatting>
        <x14:conditionalFormatting xmlns:xm="http://schemas.microsoft.com/office/excel/2006/main">
          <x14:cfRule type="iconSet" priority="25" id="{FD5B9958-9DB0-4F1A-93AB-BD5B22ED869B}">
            <x14:iconSet iconSet="3Stars">
              <x14:cfvo type="percent">
                <xm:f>0</xm:f>
              </x14:cfvo>
              <x14:cfvo type="num">
                <xm:f>2</xm:f>
              </x14:cfvo>
              <x14:cfvo type="num">
                <xm:f>2</xm:f>
              </x14:cfvo>
            </x14:iconSet>
          </x14:cfRule>
          <xm:sqref>E6</xm:sqref>
        </x14:conditionalFormatting>
        <x14:conditionalFormatting xmlns:xm="http://schemas.microsoft.com/office/excel/2006/main">
          <x14:cfRule type="iconSet" priority="20" id="{CD95DDC1-C1C7-486C-908F-FD81046742DA}">
            <x14:iconSet iconSet="3Stars">
              <x14:cfvo type="percent">
                <xm:f>0</xm:f>
              </x14:cfvo>
              <x14:cfvo type="num">
                <xm:f>2</xm:f>
              </x14:cfvo>
              <x14:cfvo type="num">
                <xm:f>2</xm:f>
              </x14:cfvo>
            </x14:iconSet>
          </x14:cfRule>
          <xm:sqref>E14</xm:sqref>
        </x14:conditionalFormatting>
        <x14:conditionalFormatting xmlns:xm="http://schemas.microsoft.com/office/excel/2006/main">
          <x14:cfRule type="iconSet" priority="19" id="{382DD48D-B0F1-44E6-B8DC-AA9F9B64DC7B}">
            <x14:iconSet iconSet="3Stars">
              <x14:cfvo type="percent">
                <xm:f>0</xm:f>
              </x14:cfvo>
              <x14:cfvo type="num">
                <xm:f>2</xm:f>
              </x14:cfvo>
              <x14:cfvo type="num">
                <xm:f>2</xm:f>
              </x14:cfvo>
            </x14:iconSet>
          </x14:cfRule>
          <xm:sqref>E22</xm:sqref>
        </x14:conditionalFormatting>
        <x14:conditionalFormatting xmlns:xm="http://schemas.microsoft.com/office/excel/2006/main">
          <x14:cfRule type="iconSet" priority="15" id="{62FD5B6B-C9B1-4329-8845-2F3F697BFA20}">
            <x14:iconSet iconSet="3Stars">
              <x14:cfvo type="percent">
                <xm:f>0</xm:f>
              </x14:cfvo>
              <x14:cfvo type="num">
                <xm:f>2</xm:f>
              </x14:cfvo>
              <x14:cfvo type="num">
                <xm:f>2</xm:f>
              </x14:cfvo>
            </x14:iconSet>
          </x14:cfRule>
          <xm:sqref>E29</xm:sqref>
        </x14:conditionalFormatting>
        <x14:conditionalFormatting xmlns:xm="http://schemas.microsoft.com/office/excel/2006/main">
          <x14:cfRule type="iconSet" priority="14" id="{D6B0CBDF-A4BF-4D45-9EB6-FDB3DDDF8B7C}">
            <x14:iconSet iconSet="3Stars">
              <x14:cfvo type="percent">
                <xm:f>0</xm:f>
              </x14:cfvo>
              <x14:cfvo type="num">
                <xm:f>2</xm:f>
              </x14:cfvo>
              <x14:cfvo type="num">
                <xm:f>2</xm:f>
              </x14:cfvo>
            </x14:iconSet>
          </x14:cfRule>
          <xm:sqref>E38</xm:sqref>
        </x14:conditionalFormatting>
        <x14:conditionalFormatting xmlns:xm="http://schemas.microsoft.com/office/excel/2006/main">
          <x14:cfRule type="iconSet" priority="4" id="{BA0328FF-8F0D-4483-AED6-A0D266F502D4}">
            <x14:iconSet iconSet="3Stars">
              <x14:cfvo type="percent">
                <xm:f>0</xm:f>
              </x14:cfvo>
              <x14:cfvo type="num">
                <xm:f>2</xm:f>
              </x14:cfvo>
              <x14:cfvo type="num">
                <xm:f>2</xm:f>
              </x14:cfvo>
            </x14:iconSet>
          </x14:cfRule>
          <xm:sqref>E45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AF123-6FD6-4A50-9723-97022E0AA8B5}">
  <dimension ref="A1:R277"/>
  <sheetViews>
    <sheetView topLeftCell="A25" workbookViewId="0">
      <selection activeCell="I33" sqref="I33"/>
    </sheetView>
  </sheetViews>
  <sheetFormatPr defaultColWidth="9.109375" defaultRowHeight="14.4" x14ac:dyDescent="0.3"/>
  <cols>
    <col min="1" max="1" width="12" style="753" bestFit="1" customWidth="1"/>
    <col min="2" max="2" width="11.21875" style="753" bestFit="1" customWidth="1"/>
    <col min="3" max="3" width="5" style="753" customWidth="1"/>
    <col min="4" max="4" width="13" style="753" customWidth="1"/>
    <col min="5" max="10" width="9.109375" style="753"/>
    <col min="11" max="11" width="12" style="753" bestFit="1" customWidth="1"/>
    <col min="12" max="12" width="11.21875" style="753" bestFit="1" customWidth="1"/>
    <col min="13" max="13" width="4.6640625" style="753" bestFit="1" customWidth="1"/>
    <col min="14" max="14" width="15.21875" style="753" customWidth="1"/>
    <col min="15" max="16384" width="9.109375" style="753"/>
  </cols>
  <sheetData>
    <row r="1" spans="1:18" ht="15" thickBot="1" x14ac:dyDescent="0.35">
      <c r="A1" s="592" t="s">
        <v>88</v>
      </c>
      <c r="B1" s="593" t="s">
        <v>61</v>
      </c>
      <c r="C1" s="594" t="s">
        <v>60</v>
      </c>
      <c r="D1" s="595" t="s">
        <v>13</v>
      </c>
      <c r="E1" s="43"/>
      <c r="F1" s="279" t="s">
        <v>55</v>
      </c>
      <c r="H1" s="783"/>
      <c r="K1" s="675" t="s">
        <v>104</v>
      </c>
      <c r="L1" s="676" t="s">
        <v>61</v>
      </c>
      <c r="M1" s="677" t="s">
        <v>60</v>
      </c>
      <c r="N1" s="678" t="s">
        <v>13</v>
      </c>
      <c r="O1" s="43"/>
      <c r="P1" s="279" t="s">
        <v>55</v>
      </c>
    </row>
    <row r="2" spans="1:18" ht="15" thickBot="1" x14ac:dyDescent="0.35">
      <c r="A2" s="596" t="s">
        <v>38</v>
      </c>
      <c r="B2" s="389">
        <f>SEM4_E!B2</f>
        <v>0</v>
      </c>
      <c r="C2" s="407">
        <v>12</v>
      </c>
      <c r="D2" s="390">
        <f>B2/C2</f>
        <v>0</v>
      </c>
      <c r="E2" s="765"/>
      <c r="F2" s="277">
        <f>SUM(F5:F36)</f>
        <v>12</v>
      </c>
      <c r="H2" s="783"/>
      <c r="K2" s="679" t="s">
        <v>38</v>
      </c>
      <c r="L2" s="754"/>
      <c r="M2" s="754">
        <v>32</v>
      </c>
      <c r="N2" s="755">
        <f>L2/M2</f>
        <v>0</v>
      </c>
      <c r="O2" s="43"/>
      <c r="P2" s="277" t="e">
        <f>SUM(P6:P45)</f>
        <v>#REF!</v>
      </c>
    </row>
    <row r="3" spans="1:18" ht="15" thickBot="1" x14ac:dyDescent="0.35">
      <c r="A3" s="597" t="s">
        <v>48</v>
      </c>
      <c r="B3" s="392"/>
      <c r="C3" s="392">
        <v>50</v>
      </c>
      <c r="D3" s="600">
        <f>B3/C3</f>
        <v>0</v>
      </c>
      <c r="E3" s="43"/>
      <c r="F3" s="43"/>
      <c r="H3" s="783"/>
      <c r="K3" s="680" t="s">
        <v>5</v>
      </c>
      <c r="L3" s="682"/>
      <c r="M3" s="682">
        <v>8</v>
      </c>
      <c r="N3" s="683">
        <f t="shared" ref="N3:N6" si="0">L3/M3</f>
        <v>0</v>
      </c>
      <c r="O3" s="43"/>
      <c r="P3" s="43"/>
      <c r="Q3" s="43"/>
      <c r="R3" s="43"/>
    </row>
    <row r="4" spans="1:18" ht="15" thickBot="1" x14ac:dyDescent="0.35">
      <c r="A4" s="597" t="s">
        <v>49</v>
      </c>
      <c r="B4" s="394"/>
      <c r="C4" s="394">
        <v>28</v>
      </c>
      <c r="D4" s="599">
        <f>B4/C4</f>
        <v>0</v>
      </c>
      <c r="E4" s="405" t="s">
        <v>23</v>
      </c>
      <c r="F4" s="280" t="s">
        <v>50</v>
      </c>
      <c r="H4" s="783"/>
      <c r="K4" s="680" t="s">
        <v>4</v>
      </c>
      <c r="L4" s="684"/>
      <c r="M4" s="685">
        <v>30</v>
      </c>
      <c r="N4" s="686">
        <f t="shared" si="0"/>
        <v>0</v>
      </c>
      <c r="O4" s="43"/>
      <c r="P4" s="195"/>
      <c r="Q4" s="43"/>
      <c r="R4" s="43"/>
    </row>
    <row r="5" spans="1:18" ht="15" thickBot="1" x14ac:dyDescent="0.35">
      <c r="A5" s="598" t="s">
        <v>8</v>
      </c>
      <c r="B5" s="655">
        <f>SUM(B2:B4)</f>
        <v>0</v>
      </c>
      <c r="C5" s="602">
        <v>100</v>
      </c>
      <c r="D5" s="601">
        <f>B5/C5</f>
        <v>0</v>
      </c>
      <c r="E5" s="603">
        <f>J6</f>
        <v>0</v>
      </c>
      <c r="F5" s="276">
        <f>IF($E$5 &gt;1, 6, 0)</f>
        <v>0</v>
      </c>
      <c r="H5" s="783"/>
      <c r="K5" s="680" t="s">
        <v>5</v>
      </c>
      <c r="L5" s="682"/>
      <c r="M5" s="682">
        <v>30</v>
      </c>
      <c r="N5" s="683">
        <f t="shared" si="0"/>
        <v>0</v>
      </c>
      <c r="O5" s="691" t="s">
        <v>23</v>
      </c>
      <c r="P5" s="280" t="s">
        <v>50</v>
      </c>
    </row>
    <row r="6" spans="1:18" ht="15" thickBot="1" x14ac:dyDescent="0.35">
      <c r="A6" s="90"/>
      <c r="B6" s="764"/>
      <c r="C6" s="253"/>
      <c r="D6" s="253"/>
      <c r="E6" s="43"/>
      <c r="F6" s="43"/>
      <c r="H6" s="783"/>
      <c r="K6" s="681" t="s">
        <v>54</v>
      </c>
      <c r="L6" s="687">
        <f>SUM(L2:L5)</f>
        <v>0</v>
      </c>
      <c r="M6" s="688">
        <f>SUM(M2:M5)</f>
        <v>100</v>
      </c>
      <c r="N6" s="689">
        <f t="shared" si="0"/>
        <v>0</v>
      </c>
      <c r="O6" s="690">
        <f>U7</f>
        <v>0</v>
      </c>
      <c r="P6" s="276">
        <f>IF($E$6 &gt;1, 6, 0)</f>
        <v>0</v>
      </c>
    </row>
    <row r="7" spans="1:18" ht="15" thickBot="1" x14ac:dyDescent="0.35">
      <c r="A7" s="604" t="s">
        <v>91</v>
      </c>
      <c r="B7" s="605" t="s">
        <v>61</v>
      </c>
      <c r="C7" s="605" t="s">
        <v>60</v>
      </c>
      <c r="D7" s="605" t="s">
        <v>13</v>
      </c>
      <c r="E7" s="43"/>
      <c r="F7" s="43"/>
      <c r="H7" s="783"/>
      <c r="K7" s="253"/>
      <c r="L7" s="90"/>
      <c r="M7" s="253"/>
      <c r="N7" s="785"/>
      <c r="O7" s="43"/>
      <c r="P7" s="43"/>
    </row>
    <row r="8" spans="1:18" ht="15" thickBot="1" x14ac:dyDescent="0.35">
      <c r="A8" s="606" t="s">
        <v>38</v>
      </c>
      <c r="B8" s="609">
        <f>SEM4_E!B9</f>
        <v>0</v>
      </c>
      <c r="C8" s="609">
        <v>6</v>
      </c>
      <c r="D8" s="610">
        <f>B8/C8</f>
        <v>0</v>
      </c>
      <c r="E8" s="43"/>
      <c r="F8" s="88"/>
      <c r="H8" s="783"/>
      <c r="K8" s="760" t="s">
        <v>103</v>
      </c>
      <c r="L8" s="708" t="s">
        <v>61</v>
      </c>
      <c r="M8" s="709" t="s">
        <v>60</v>
      </c>
      <c r="N8" s="710" t="s">
        <v>13</v>
      </c>
      <c r="O8" s="43"/>
      <c r="P8" s="43"/>
      <c r="Q8" s="43"/>
      <c r="R8" s="43"/>
    </row>
    <row r="9" spans="1:18" ht="15" thickBot="1" x14ac:dyDescent="0.35">
      <c r="A9" s="607" t="s">
        <v>48</v>
      </c>
      <c r="B9" s="614"/>
      <c r="C9" s="615">
        <v>100</v>
      </c>
      <c r="D9" s="618">
        <f>B9/C9</f>
        <v>0</v>
      </c>
      <c r="E9" s="622" t="s">
        <v>23</v>
      </c>
      <c r="F9" s="280" t="s">
        <v>50</v>
      </c>
      <c r="H9" s="783"/>
      <c r="K9" s="693" t="s">
        <v>39</v>
      </c>
      <c r="L9" s="696"/>
      <c r="M9" s="697"/>
      <c r="N9" s="698"/>
      <c r="O9" s="43"/>
      <c r="P9" s="88"/>
      <c r="Q9" s="43"/>
      <c r="R9" s="43"/>
    </row>
    <row r="10" spans="1:18" ht="15" thickBot="1" x14ac:dyDescent="0.35">
      <c r="A10" s="608" t="s">
        <v>8</v>
      </c>
      <c r="B10" s="619">
        <f>SUM(B8:B9)</f>
        <v>0</v>
      </c>
      <c r="C10" s="620">
        <v>100</v>
      </c>
      <c r="D10" s="621">
        <f>B10/C10</f>
        <v>0</v>
      </c>
      <c r="E10" s="623" t="str">
        <f>K6</f>
        <v>UKUPNO:</v>
      </c>
      <c r="F10" s="276">
        <f>IF($E$10 &gt;1, 5, 0)</f>
        <v>5</v>
      </c>
      <c r="H10" s="783"/>
      <c r="K10" s="694" t="s">
        <v>38</v>
      </c>
      <c r="L10" s="702"/>
      <c r="M10" s="703"/>
      <c r="N10" s="758"/>
      <c r="O10" s="762"/>
      <c r="P10" s="88"/>
      <c r="Q10" s="43"/>
      <c r="R10" s="43"/>
    </row>
    <row r="11" spans="1:18" x14ac:dyDescent="0.3">
      <c r="A11" s="90"/>
      <c r="B11" s="253"/>
      <c r="C11" s="253"/>
      <c r="D11" s="253"/>
      <c r="E11" s="43"/>
      <c r="F11" s="43"/>
      <c r="H11" s="783"/>
      <c r="K11" s="756" t="s">
        <v>72</v>
      </c>
      <c r="L11" s="696"/>
      <c r="M11" s="697">
        <v>10</v>
      </c>
      <c r="N11" s="757">
        <f>L11/M11</f>
        <v>0</v>
      </c>
      <c r="O11" s="43"/>
      <c r="P11" s="43"/>
      <c r="Q11" s="43"/>
      <c r="R11" s="43"/>
    </row>
    <row r="12" spans="1:18" ht="15" thickBot="1" x14ac:dyDescent="0.35">
      <c r="A12" s="90"/>
      <c r="B12" s="253"/>
      <c r="C12" s="253"/>
      <c r="D12" s="253"/>
      <c r="E12" s="43"/>
      <c r="F12" s="43"/>
      <c r="H12" s="783"/>
      <c r="K12" s="694" t="s">
        <v>4</v>
      </c>
      <c r="L12" s="702"/>
      <c r="M12" s="703">
        <v>35</v>
      </c>
      <c r="N12" s="704">
        <f t="shared" ref="N12" si="1">L12/M12</f>
        <v>0</v>
      </c>
      <c r="O12" s="43"/>
      <c r="P12" s="43"/>
      <c r="Q12" s="43"/>
    </row>
    <row r="13" spans="1:18" ht="15" thickBot="1" x14ac:dyDescent="0.35">
      <c r="A13" s="321" t="s">
        <v>97</v>
      </c>
      <c r="B13" s="322" t="s">
        <v>6</v>
      </c>
      <c r="C13" s="323" t="s">
        <v>60</v>
      </c>
      <c r="D13" s="324" t="s">
        <v>13</v>
      </c>
      <c r="E13" s="763"/>
      <c r="F13" s="88"/>
      <c r="H13" s="783"/>
      <c r="K13" s="694" t="s">
        <v>5</v>
      </c>
      <c r="L13" s="700"/>
      <c r="M13" s="699">
        <v>55</v>
      </c>
      <c r="N13" s="701">
        <f>L13/M13</f>
        <v>0</v>
      </c>
      <c r="O13" s="711" t="s">
        <v>23</v>
      </c>
      <c r="P13" s="280" t="s">
        <v>50</v>
      </c>
    </row>
    <row r="14" spans="1:18" ht="15" thickBot="1" x14ac:dyDescent="0.35">
      <c r="A14" s="653" t="s">
        <v>1</v>
      </c>
      <c r="B14" s="766">
        <f>(SEM4_E!B18)/2</f>
        <v>0</v>
      </c>
      <c r="C14" s="326">
        <v>7.5</v>
      </c>
      <c r="D14" s="327">
        <f>B14/C14</f>
        <v>0</v>
      </c>
      <c r="E14" s="44"/>
      <c r="F14" s="88"/>
      <c r="H14" s="783"/>
      <c r="K14" s="695" t="s">
        <v>21</v>
      </c>
      <c r="L14" s="705">
        <f>SUM(L9:L13)</f>
        <v>0</v>
      </c>
      <c r="M14" s="706">
        <f>SUM(M9:M13)</f>
        <v>100</v>
      </c>
      <c r="N14" s="707">
        <f>L14/M14</f>
        <v>0</v>
      </c>
      <c r="O14" s="109">
        <f>V7</f>
        <v>0</v>
      </c>
      <c r="P14" s="276">
        <f>IF($E$14 &gt;1, 6, 0)</f>
        <v>0</v>
      </c>
    </row>
    <row r="15" spans="1:18" ht="15" thickBot="1" x14ac:dyDescent="0.35">
      <c r="A15" s="654" t="s">
        <v>72</v>
      </c>
      <c r="B15" s="652">
        <f>(SEM4_E!B19)/2</f>
        <v>0</v>
      </c>
      <c r="C15" s="319">
        <v>7.5</v>
      </c>
      <c r="D15" s="331">
        <f t="shared" ref="D15" si="2">B15/C15</f>
        <v>0</v>
      </c>
      <c r="E15" s="43"/>
      <c r="F15" s="88"/>
      <c r="H15" s="783"/>
      <c r="K15" s="253"/>
      <c r="L15" s="90"/>
      <c r="M15" s="253"/>
      <c r="N15" s="785"/>
      <c r="O15" s="43"/>
      <c r="P15" s="43"/>
    </row>
    <row r="16" spans="1:18" ht="15" thickBot="1" x14ac:dyDescent="0.35">
      <c r="A16" s="654" t="s">
        <v>48</v>
      </c>
      <c r="B16" s="434"/>
      <c r="C16" s="320">
        <v>85</v>
      </c>
      <c r="D16" s="327">
        <f>B16/C16</f>
        <v>0</v>
      </c>
      <c r="E16" s="333" t="s">
        <v>14</v>
      </c>
      <c r="F16" s="280" t="s">
        <v>50</v>
      </c>
      <c r="H16" s="783"/>
      <c r="K16" s="253"/>
      <c r="L16" s="90"/>
      <c r="M16" s="253"/>
      <c r="N16" s="785"/>
      <c r="O16" s="43"/>
      <c r="P16" s="43"/>
    </row>
    <row r="17" spans="1:18" ht="15" thickBot="1" x14ac:dyDescent="0.35">
      <c r="A17" s="334" t="s">
        <v>8</v>
      </c>
      <c r="B17" s="236">
        <f>SUM(B14:B16)</f>
        <v>0</v>
      </c>
      <c r="C17" s="237">
        <v>100</v>
      </c>
      <c r="D17" s="238">
        <f>B17/C17</f>
        <v>0</v>
      </c>
      <c r="E17" s="239">
        <f>L3</f>
        <v>0</v>
      </c>
      <c r="F17" s="276">
        <f>IF($E$21 &gt;1, 4, 0)</f>
        <v>0</v>
      </c>
      <c r="H17" s="783"/>
      <c r="K17" s="759" t="s">
        <v>108</v>
      </c>
      <c r="L17" s="712" t="s">
        <v>61</v>
      </c>
      <c r="M17" s="713" t="s">
        <v>60</v>
      </c>
      <c r="N17" s="714" t="s">
        <v>13</v>
      </c>
      <c r="O17" s="43"/>
      <c r="P17" s="43"/>
      <c r="Q17" s="43"/>
      <c r="R17" s="43"/>
    </row>
    <row r="18" spans="1:18" x14ac:dyDescent="0.3">
      <c r="A18" s="90"/>
      <c r="B18" s="253"/>
      <c r="C18" s="253"/>
      <c r="D18" s="253"/>
      <c r="E18" s="43"/>
      <c r="F18" s="88"/>
      <c r="H18" s="783"/>
      <c r="K18" s="716" t="s">
        <v>72</v>
      </c>
      <c r="L18" s="724"/>
      <c r="M18" s="725">
        <v>10</v>
      </c>
      <c r="N18" s="726">
        <f t="shared" ref="N18" si="3">L18/M18</f>
        <v>0</v>
      </c>
      <c r="O18" s="90"/>
      <c r="P18" s="43"/>
      <c r="Q18" s="43"/>
      <c r="R18" s="43"/>
    </row>
    <row r="19" spans="1:18" ht="15" thickBot="1" x14ac:dyDescent="0.35">
      <c r="A19" s="90"/>
      <c r="B19" s="253"/>
      <c r="C19" s="253"/>
      <c r="D19" s="253"/>
      <c r="E19" s="43"/>
      <c r="F19" s="43"/>
      <c r="H19" s="783"/>
      <c r="K19" s="715" t="s">
        <v>38</v>
      </c>
      <c r="L19" s="718"/>
      <c r="M19" s="719">
        <v>20</v>
      </c>
      <c r="N19" s="720">
        <f>L19/M19</f>
        <v>0</v>
      </c>
      <c r="O19" s="90" t="s">
        <v>109</v>
      </c>
      <c r="P19" s="43"/>
      <c r="Q19" s="43"/>
      <c r="R19" s="43"/>
    </row>
    <row r="20" spans="1:18" ht="15" thickBot="1" x14ac:dyDescent="0.35">
      <c r="A20" s="189" t="s">
        <v>98</v>
      </c>
      <c r="B20" s="190" t="s">
        <v>6</v>
      </c>
      <c r="C20" s="191" t="s">
        <v>60</v>
      </c>
      <c r="D20" s="192" t="s">
        <v>13</v>
      </c>
      <c r="E20" s="43"/>
      <c r="F20" s="88"/>
      <c r="H20" s="783"/>
      <c r="K20" s="716" t="s">
        <v>4</v>
      </c>
      <c r="L20" s="724"/>
      <c r="M20" s="725">
        <v>30</v>
      </c>
      <c r="N20" s="726">
        <f t="shared" ref="N20:N22" si="4">L20/M20</f>
        <v>0</v>
      </c>
      <c r="O20" s="786"/>
      <c r="P20" s="88"/>
      <c r="Q20" s="43"/>
      <c r="R20" s="43"/>
    </row>
    <row r="21" spans="1:18" ht="15" thickBot="1" x14ac:dyDescent="0.35">
      <c r="A21" s="649" t="s">
        <v>72</v>
      </c>
      <c r="B21" s="646">
        <f>SEM4_E!B26</f>
        <v>0</v>
      </c>
      <c r="C21" s="197">
        <v>10</v>
      </c>
      <c r="D21" s="198">
        <f>B21/C21</f>
        <v>0</v>
      </c>
      <c r="E21" s="195"/>
      <c r="F21" s="43"/>
      <c r="H21" s="783"/>
      <c r="K21" s="716" t="s">
        <v>5</v>
      </c>
      <c r="L21" s="723"/>
      <c r="M21" s="721">
        <v>40</v>
      </c>
      <c r="N21" s="722">
        <f t="shared" si="4"/>
        <v>0</v>
      </c>
      <c r="O21" s="731" t="s">
        <v>23</v>
      </c>
      <c r="P21" s="280" t="s">
        <v>50</v>
      </c>
    </row>
    <row r="22" spans="1:18" ht="15" thickBot="1" x14ac:dyDescent="0.35">
      <c r="A22" s="650" t="s">
        <v>5</v>
      </c>
      <c r="B22" s="767"/>
      <c r="C22" s="768">
        <v>90</v>
      </c>
      <c r="D22" s="769">
        <f t="shared" ref="D22:D23" si="5">B22/C22</f>
        <v>0</v>
      </c>
      <c r="E22" s="193" t="s">
        <v>14</v>
      </c>
      <c r="F22" s="280" t="s">
        <v>50</v>
      </c>
      <c r="H22" s="783"/>
      <c r="K22" s="717" t="s">
        <v>8</v>
      </c>
      <c r="L22" s="727">
        <f>SUM(L19:L21)</f>
        <v>0</v>
      </c>
      <c r="M22" s="728">
        <f>SUM(M18:M21)</f>
        <v>100</v>
      </c>
      <c r="N22" s="729">
        <f t="shared" si="4"/>
        <v>0</v>
      </c>
      <c r="O22" s="730">
        <f>W7</f>
        <v>0</v>
      </c>
      <c r="P22" s="276">
        <f>IF($E$22 &gt;1, 6, 0)</f>
        <v>6</v>
      </c>
    </row>
    <row r="23" spans="1:18" ht="15" thickBot="1" x14ac:dyDescent="0.35">
      <c r="A23" s="188" t="s">
        <v>8</v>
      </c>
      <c r="B23" s="770">
        <f>SUM(B21:B22)</f>
        <v>0</v>
      </c>
      <c r="C23" s="771">
        <v>100</v>
      </c>
      <c r="D23" s="772">
        <f t="shared" si="5"/>
        <v>0</v>
      </c>
      <c r="E23" s="773">
        <f>M6</f>
        <v>100</v>
      </c>
      <c r="F23" s="276">
        <f>IF($E$23 &gt;1, 7, 0)</f>
        <v>7</v>
      </c>
      <c r="H23" s="783"/>
      <c r="K23" s="253"/>
      <c r="L23" s="90"/>
      <c r="M23" s="253"/>
      <c r="N23" s="785"/>
      <c r="O23" s="43"/>
      <c r="P23" s="43"/>
    </row>
    <row r="24" spans="1:18" x14ac:dyDescent="0.3">
      <c r="A24" s="90"/>
      <c r="B24" s="253"/>
      <c r="C24" s="253"/>
      <c r="D24" s="253"/>
      <c r="E24" s="43"/>
      <c r="F24" s="88"/>
      <c r="H24" s="783"/>
      <c r="K24" s="253"/>
      <c r="L24" s="90"/>
      <c r="M24" s="253"/>
      <c r="N24" s="785"/>
      <c r="O24" s="43"/>
      <c r="P24" s="43"/>
    </row>
    <row r="25" spans="1:18" ht="15" thickBot="1" x14ac:dyDescent="0.35">
      <c r="A25" s="90"/>
      <c r="B25" s="253"/>
      <c r="C25" s="253"/>
      <c r="D25" s="253"/>
      <c r="E25" s="43"/>
      <c r="F25" s="43"/>
      <c r="H25" s="783"/>
      <c r="K25" s="401" t="s">
        <v>106</v>
      </c>
      <c r="L25" s="561" t="s">
        <v>61</v>
      </c>
      <c r="M25" s="403" t="s">
        <v>60</v>
      </c>
      <c r="N25" s="408" t="s">
        <v>13</v>
      </c>
      <c r="O25" s="43"/>
      <c r="P25" s="43"/>
      <c r="Q25" s="43"/>
    </row>
    <row r="26" spans="1:18" ht="15" thickBot="1" x14ac:dyDescent="0.35">
      <c r="A26" s="625" t="s">
        <v>99</v>
      </c>
      <c r="B26" s="626" t="s">
        <v>61</v>
      </c>
      <c r="C26" s="627" t="s">
        <v>60</v>
      </c>
      <c r="D26" s="628" t="s">
        <v>13</v>
      </c>
      <c r="E26" s="43"/>
      <c r="F26" s="88"/>
      <c r="H26" s="783"/>
      <c r="K26" s="306" t="s">
        <v>38</v>
      </c>
      <c r="L26" s="492"/>
      <c r="M26" s="407">
        <v>30</v>
      </c>
      <c r="N26" s="390">
        <f>L26/M26</f>
        <v>0</v>
      </c>
      <c r="O26" s="762"/>
      <c r="P26" s="88"/>
      <c r="Q26" s="43"/>
    </row>
    <row r="27" spans="1:18" ht="15" thickBot="1" x14ac:dyDescent="0.35">
      <c r="A27" s="629" t="s">
        <v>72</v>
      </c>
      <c r="B27" s="632">
        <f>SEM4_E!B33</f>
        <v>0</v>
      </c>
      <c r="C27" s="633">
        <v>6</v>
      </c>
      <c r="D27" s="634">
        <f>B27/C27</f>
        <v>0</v>
      </c>
      <c r="E27" s="762"/>
      <c r="F27" s="43"/>
      <c r="H27" s="783"/>
      <c r="K27" s="307" t="s">
        <v>4</v>
      </c>
      <c r="L27" s="395"/>
      <c r="M27" s="395">
        <v>40</v>
      </c>
      <c r="N27" s="396">
        <f>L27/M27</f>
        <v>0</v>
      </c>
      <c r="O27" s="43"/>
      <c r="P27" s="88"/>
      <c r="Q27" s="43"/>
    </row>
    <row r="28" spans="1:18" ht="15" thickBot="1" x14ac:dyDescent="0.35">
      <c r="A28" s="630" t="s">
        <v>48</v>
      </c>
      <c r="B28" s="774"/>
      <c r="C28" s="775">
        <v>94</v>
      </c>
      <c r="D28" s="776">
        <f>B28/C28</f>
        <v>0</v>
      </c>
      <c r="E28" s="645" t="s">
        <v>23</v>
      </c>
      <c r="F28" s="280" t="s">
        <v>50</v>
      </c>
      <c r="H28" s="783"/>
      <c r="K28" s="307" t="s">
        <v>5</v>
      </c>
      <c r="L28" s="492"/>
      <c r="M28" s="492">
        <v>40</v>
      </c>
      <c r="N28" s="393">
        <f>L28/M28</f>
        <v>0</v>
      </c>
      <c r="O28" s="405" t="s">
        <v>23</v>
      </c>
      <c r="P28" s="280" t="s">
        <v>50</v>
      </c>
    </row>
    <row r="29" spans="1:18" ht="15" thickBot="1" x14ac:dyDescent="0.35">
      <c r="A29" s="631" t="s">
        <v>8</v>
      </c>
      <c r="B29" s="777">
        <f>SUM(B26:B28)</f>
        <v>0</v>
      </c>
      <c r="C29" s="778">
        <f>SUM(C27:C28)</f>
        <v>100</v>
      </c>
      <c r="D29" s="779">
        <f>B29/C29</f>
        <v>0</v>
      </c>
      <c r="E29" s="780">
        <f>N6</f>
        <v>0</v>
      </c>
      <c r="F29" s="276">
        <f>IF($E$29 &gt;1, 6, 0)</f>
        <v>0</v>
      </c>
      <c r="H29" s="783"/>
      <c r="K29" s="308" t="s">
        <v>8</v>
      </c>
      <c r="L29" s="732">
        <f>SUM(L26:L28)</f>
        <v>0</v>
      </c>
      <c r="M29" s="398">
        <v>100</v>
      </c>
      <c r="N29" s="399">
        <f>L29/M29</f>
        <v>0</v>
      </c>
      <c r="O29" s="400">
        <f>X7</f>
        <v>0</v>
      </c>
      <c r="P29" s="276">
        <f>IF($E$29 &gt;1, 6, 0)</f>
        <v>0</v>
      </c>
    </row>
    <row r="30" spans="1:18" x14ac:dyDescent="0.3">
      <c r="A30" s="90"/>
      <c r="B30" s="253"/>
      <c r="C30" s="253"/>
      <c r="D30" s="253"/>
      <c r="E30" s="43"/>
      <c r="F30" s="43"/>
      <c r="H30" s="783"/>
      <c r="K30" s="253"/>
      <c r="L30" s="90"/>
      <c r="M30" s="253"/>
      <c r="N30" s="785"/>
      <c r="O30" s="43"/>
      <c r="P30" s="43"/>
    </row>
    <row r="31" spans="1:18" x14ac:dyDescent="0.3">
      <c r="A31" s="90"/>
      <c r="B31" s="253"/>
      <c r="C31" s="253"/>
      <c r="D31" s="253"/>
      <c r="E31" s="43"/>
      <c r="F31" s="43"/>
      <c r="H31" s="783"/>
      <c r="K31" s="253"/>
      <c r="L31" s="90"/>
      <c r="M31" s="253"/>
      <c r="N31" s="785"/>
      <c r="O31" s="43"/>
      <c r="P31" s="43"/>
    </row>
    <row r="32" spans="1:18" ht="15" thickBot="1" x14ac:dyDescent="0.35">
      <c r="A32" s="90"/>
      <c r="B32" s="253"/>
      <c r="C32" s="253"/>
      <c r="D32" s="253"/>
      <c r="E32" s="43"/>
      <c r="F32" s="43"/>
      <c r="H32" s="783"/>
      <c r="K32" s="253"/>
      <c r="L32" s="90"/>
      <c r="M32" s="253"/>
      <c r="N32" s="785"/>
      <c r="O32" s="43"/>
      <c r="P32" s="43"/>
    </row>
    <row r="33" spans="1:16" ht="15" thickBot="1" x14ac:dyDescent="0.35">
      <c r="A33" s="657" t="s">
        <v>100</v>
      </c>
      <c r="B33" s="659" t="s">
        <v>61</v>
      </c>
      <c r="C33" s="660" t="s">
        <v>60</v>
      </c>
      <c r="D33" s="658" t="s">
        <v>13</v>
      </c>
      <c r="E33" s="761"/>
      <c r="F33" s="43"/>
      <c r="H33" s="783"/>
      <c r="K33" s="734" t="s">
        <v>107</v>
      </c>
      <c r="L33" s="735" t="s">
        <v>61</v>
      </c>
      <c r="M33" s="736" t="s">
        <v>60</v>
      </c>
      <c r="N33" s="737" t="s">
        <v>13</v>
      </c>
      <c r="O33" s="43"/>
      <c r="P33" s="43"/>
    </row>
    <row r="34" spans="1:16" ht="15" thickBot="1" x14ac:dyDescent="0.35">
      <c r="A34" s="781" t="s">
        <v>27</v>
      </c>
      <c r="B34" s="663"/>
      <c r="C34" s="664">
        <v>30</v>
      </c>
      <c r="D34" s="665">
        <f t="shared" ref="D34:D36" si="6">B34/C34</f>
        <v>0</v>
      </c>
      <c r="E34" s="761"/>
      <c r="F34" s="43"/>
      <c r="H34" s="783"/>
      <c r="K34" s="738" t="s">
        <v>38</v>
      </c>
      <c r="L34" s="741"/>
      <c r="M34" s="742">
        <v>30</v>
      </c>
      <c r="N34" s="743">
        <f>L34/M34</f>
        <v>0</v>
      </c>
      <c r="O34" s="43"/>
      <c r="P34" s="43"/>
    </row>
    <row r="35" spans="1:16" x14ac:dyDescent="0.3">
      <c r="A35" s="672" t="s">
        <v>5</v>
      </c>
      <c r="B35" s="663"/>
      <c r="C35" s="664">
        <v>70</v>
      </c>
      <c r="D35" s="665">
        <f t="shared" si="6"/>
        <v>0</v>
      </c>
      <c r="E35" s="671" t="s">
        <v>23</v>
      </c>
      <c r="F35" s="365" t="s">
        <v>50</v>
      </c>
      <c r="H35" s="783"/>
      <c r="K35" s="738" t="s">
        <v>92</v>
      </c>
      <c r="L35" s="744"/>
      <c r="M35" s="745">
        <v>10</v>
      </c>
      <c r="N35" s="746">
        <f>L35/M35</f>
        <v>0</v>
      </c>
      <c r="O35" s="208"/>
      <c r="P35" s="88"/>
    </row>
    <row r="36" spans="1:16" ht="15" thickBot="1" x14ac:dyDescent="0.35">
      <c r="A36" s="673" t="s">
        <v>8</v>
      </c>
      <c r="B36" s="669">
        <f>SUM(B34:B35)</f>
        <v>0</v>
      </c>
      <c r="C36" s="661">
        <f>SUM(C34:C35)</f>
        <v>100</v>
      </c>
      <c r="D36" s="662">
        <f t="shared" si="6"/>
        <v>0</v>
      </c>
      <c r="E36" s="670">
        <f>O6</f>
        <v>0</v>
      </c>
      <c r="F36" s="366">
        <f>IF($E$36 &gt;1, 2, 0)</f>
        <v>0</v>
      </c>
      <c r="H36" s="783"/>
      <c r="K36" s="738" t="s">
        <v>4</v>
      </c>
      <c r="L36" s="741"/>
      <c r="M36" s="742">
        <v>30</v>
      </c>
      <c r="N36" s="743">
        <f>L36/M36</f>
        <v>0</v>
      </c>
      <c r="O36" s="787"/>
      <c r="P36" s="43"/>
    </row>
    <row r="37" spans="1:16" x14ac:dyDescent="0.3">
      <c r="H37" s="783"/>
      <c r="K37" s="738" t="s">
        <v>5</v>
      </c>
      <c r="L37" s="744"/>
      <c r="M37" s="745">
        <v>30</v>
      </c>
      <c r="N37" s="746">
        <f>L37/M37</f>
        <v>0</v>
      </c>
      <c r="O37" s="740" t="s">
        <v>23</v>
      </c>
      <c r="P37" s="280" t="s">
        <v>50</v>
      </c>
    </row>
    <row r="38" spans="1:16" ht="15" thickBot="1" x14ac:dyDescent="0.35">
      <c r="H38" s="783"/>
      <c r="K38" s="739" t="s">
        <v>8</v>
      </c>
      <c r="L38" s="747">
        <f>SUM(L36:L37)</f>
        <v>0</v>
      </c>
      <c r="M38" s="748">
        <f>SUM(M34:M37)</f>
        <v>100</v>
      </c>
      <c r="N38" s="749">
        <f t="shared" ref="N38" si="7">L38/M38</f>
        <v>0</v>
      </c>
      <c r="O38" s="750">
        <f>Y7</f>
        <v>0</v>
      </c>
      <c r="P38" s="276">
        <f>IF($E$38 &gt;1, 4, 0)</f>
        <v>0</v>
      </c>
    </row>
    <row r="39" spans="1:16" x14ac:dyDescent="0.3">
      <c r="H39" s="783"/>
      <c r="K39" s="253"/>
      <c r="L39" s="90"/>
      <c r="M39" s="253"/>
      <c r="N39" s="785"/>
      <c r="O39" s="43"/>
      <c r="P39" s="43"/>
    </row>
    <row r="40" spans="1:16" ht="15" thickBot="1" x14ac:dyDescent="0.35">
      <c r="H40" s="783"/>
      <c r="K40" s="253"/>
      <c r="L40" s="90"/>
      <c r="M40" s="253"/>
      <c r="N40" s="785"/>
      <c r="O40" s="43"/>
      <c r="P40" s="88"/>
    </row>
    <row r="41" spans="1:16" ht="15" thickBot="1" x14ac:dyDescent="0.35">
      <c r="H41" s="783"/>
      <c r="K41" s="657" t="s">
        <v>100</v>
      </c>
      <c r="L41" s="659" t="s">
        <v>61</v>
      </c>
      <c r="M41" s="660" t="s">
        <v>60</v>
      </c>
      <c r="N41" s="658" t="s">
        <v>13</v>
      </c>
      <c r="O41" s="761"/>
      <c r="P41" s="43"/>
    </row>
    <row r="42" spans="1:16" x14ac:dyDescent="0.3">
      <c r="A42" s="782" t="s">
        <v>15</v>
      </c>
      <c r="B42" s="782" t="s">
        <v>93</v>
      </c>
      <c r="C42" s="782" t="s">
        <v>94</v>
      </c>
      <c r="D42" s="782" t="s">
        <v>95</v>
      </c>
      <c r="E42" s="782" t="s">
        <v>96</v>
      </c>
      <c r="F42" s="782" t="s">
        <v>101</v>
      </c>
      <c r="G42" s="782" t="s">
        <v>102</v>
      </c>
      <c r="H42" s="784"/>
      <c r="K42" s="672" t="s">
        <v>27</v>
      </c>
      <c r="L42" s="663"/>
      <c r="M42" s="664">
        <v>30</v>
      </c>
      <c r="N42" s="665">
        <f t="shared" ref="N42:N45" si="8">L42/M42</f>
        <v>0</v>
      </c>
      <c r="O42" s="761"/>
      <c r="P42" s="43"/>
    </row>
    <row r="43" spans="1:16" ht="15" thickBot="1" x14ac:dyDescent="0.35">
      <c r="A43" s="782">
        <v>1</v>
      </c>
      <c r="B43" s="782">
        <v>1</v>
      </c>
      <c r="C43" s="782">
        <v>1</v>
      </c>
      <c r="D43" s="782">
        <v>1</v>
      </c>
      <c r="E43" s="782">
        <v>1</v>
      </c>
      <c r="F43" s="782">
        <v>1</v>
      </c>
      <c r="G43" s="782">
        <v>1</v>
      </c>
      <c r="H43" s="784"/>
      <c r="K43" s="674" t="s">
        <v>4</v>
      </c>
      <c r="L43" s="666"/>
      <c r="M43" s="667">
        <v>35</v>
      </c>
      <c r="N43" s="668">
        <f t="shared" si="8"/>
        <v>0</v>
      </c>
      <c r="O43" s="761"/>
      <c r="P43" s="43"/>
    </row>
    <row r="44" spans="1:16" x14ac:dyDescent="0.3">
      <c r="A44" s="782">
        <v>2</v>
      </c>
      <c r="B44" s="782">
        <f>IF($B5 &gt;= 50, 1, 0)</f>
        <v>0</v>
      </c>
      <c r="C44" s="782">
        <f>IF($B$10 &gt;= 51, 1, 0)</f>
        <v>0</v>
      </c>
      <c r="D44" s="782">
        <f>IF($B$17 &gt;= 50, 1, 0)</f>
        <v>0</v>
      </c>
      <c r="E44" s="782">
        <f>IF($B$23 &gt;= 45, 1,)</f>
        <v>0</v>
      </c>
      <c r="F44" s="782">
        <f>IF($B$29 &gt;= 50, 1,)</f>
        <v>0</v>
      </c>
      <c r="G44" s="782">
        <f>IF($B$36 &gt;= 50, 1,)</f>
        <v>0</v>
      </c>
      <c r="H44" s="784"/>
      <c r="K44" s="672" t="s">
        <v>5</v>
      </c>
      <c r="L44" s="663"/>
      <c r="M44" s="664">
        <v>35</v>
      </c>
      <c r="N44" s="665">
        <f t="shared" si="8"/>
        <v>0</v>
      </c>
      <c r="O44" s="671" t="s">
        <v>23</v>
      </c>
      <c r="P44" s="365" t="s">
        <v>50</v>
      </c>
    </row>
    <row r="45" spans="1:16" ht="15" thickBot="1" x14ac:dyDescent="0.35">
      <c r="A45" s="782">
        <v>3</v>
      </c>
      <c r="B45" s="782">
        <f>IF($B$5 &gt;= 62, 1, 0)</f>
        <v>0</v>
      </c>
      <c r="C45" s="782">
        <f>IF($B$10 &gt;= 63, 1, 0)</f>
        <v>0</v>
      </c>
      <c r="D45" s="782">
        <f>IF($B$17 &gt;= 65, 1, )</f>
        <v>0</v>
      </c>
      <c r="E45" s="782">
        <f>IF($B$23 &gt;= 55, 1, )</f>
        <v>0</v>
      </c>
      <c r="F45" s="782">
        <f>IF($B$29 &gt;= 60, 1,)</f>
        <v>0</v>
      </c>
      <c r="G45" s="782">
        <f>IF($B$36 &gt;= 60, 1,)</f>
        <v>0</v>
      </c>
      <c r="H45" s="784"/>
      <c r="K45" s="673" t="s">
        <v>8</v>
      </c>
      <c r="L45" s="669">
        <f>SUM(L42:L44)</f>
        <v>0</v>
      </c>
      <c r="M45" s="661">
        <f>SUM(M42:M44)</f>
        <v>100</v>
      </c>
      <c r="N45" s="662">
        <f t="shared" si="8"/>
        <v>0</v>
      </c>
      <c r="O45" s="670">
        <f>Y3</f>
        <v>0</v>
      </c>
      <c r="P45" s="366" t="e">
        <f>IF(#REF! &gt;1, 2, 0)</f>
        <v>#REF!</v>
      </c>
    </row>
    <row r="46" spans="1:16" x14ac:dyDescent="0.3">
      <c r="A46" s="782">
        <v>4</v>
      </c>
      <c r="B46" s="782">
        <f>IF($B$5 &gt;= 75, 1, 0)</f>
        <v>0</v>
      </c>
      <c r="C46" s="782">
        <f>IF($B$10 &gt;= 75, 1, 0)</f>
        <v>0</v>
      </c>
      <c r="D46" s="782">
        <f>IF($B$17 &gt;= 80, 1, 0)</f>
        <v>0</v>
      </c>
      <c r="E46" s="782">
        <f>IF($B$23 &gt;= 70, 1, )</f>
        <v>0</v>
      </c>
      <c r="F46" s="782">
        <f>IF($B$29 &gt;= 75, 1,)</f>
        <v>0</v>
      </c>
      <c r="G46" s="782">
        <f>IF($B$36 &gt;= 75, 1,)</f>
        <v>0</v>
      </c>
      <c r="H46" s="784"/>
    </row>
    <row r="47" spans="1:16" x14ac:dyDescent="0.3">
      <c r="A47" s="782">
        <v>5</v>
      </c>
      <c r="B47" s="782">
        <f>IF($B$5 &gt;= 87, 1, 0)</f>
        <v>0</v>
      </c>
      <c r="C47" s="782">
        <f>IF($B$10 &gt;= 87, 1, 0)</f>
        <v>0</v>
      </c>
      <c r="D47" s="782">
        <f>IF($B$17 &gt;= 90, 1, 0)</f>
        <v>0</v>
      </c>
      <c r="E47" s="782">
        <f>IF($B$23 &gt;= 85, 1, 0)</f>
        <v>0</v>
      </c>
      <c r="F47" s="782">
        <f>IF($B$29 &gt;= 90, 1,)</f>
        <v>0</v>
      </c>
      <c r="G47" s="782">
        <f>IF($B$36 &gt;= 85, 1,)</f>
        <v>0</v>
      </c>
      <c r="H47" s="784"/>
    </row>
    <row r="48" spans="1:16" x14ac:dyDescent="0.3">
      <c r="A48" s="782" t="s">
        <v>17</v>
      </c>
      <c r="B48" s="782">
        <f>SUM(B43:B47)</f>
        <v>1</v>
      </c>
      <c r="C48" s="782">
        <f t="shared" ref="C48:E48" si="9">SUM(C43:C47)</f>
        <v>1</v>
      </c>
      <c r="D48" s="782">
        <f t="shared" si="9"/>
        <v>1</v>
      </c>
      <c r="E48" s="782">
        <f t="shared" si="9"/>
        <v>1</v>
      </c>
      <c r="F48" s="782">
        <f>SUM(F43:F47)</f>
        <v>1</v>
      </c>
      <c r="G48" s="782">
        <f>SUM(G43:G47)</f>
        <v>1</v>
      </c>
      <c r="H48" s="784"/>
    </row>
    <row r="49" spans="1:8" x14ac:dyDescent="0.3">
      <c r="A49" s="43"/>
      <c r="B49" s="43"/>
      <c r="C49" s="43"/>
      <c r="D49" s="43"/>
      <c r="E49" s="43"/>
      <c r="F49" s="43"/>
      <c r="G49" s="43"/>
      <c r="H49" s="784"/>
    </row>
    <row r="50" spans="1:8" x14ac:dyDescent="0.3">
      <c r="H50" s="783"/>
    </row>
    <row r="51" spans="1:8" x14ac:dyDescent="0.3">
      <c r="H51" s="783"/>
    </row>
    <row r="52" spans="1:8" x14ac:dyDescent="0.3">
      <c r="H52" s="783"/>
    </row>
    <row r="53" spans="1:8" x14ac:dyDescent="0.3">
      <c r="H53" s="783"/>
    </row>
    <row r="54" spans="1:8" x14ac:dyDescent="0.3">
      <c r="H54" s="783"/>
    </row>
    <row r="55" spans="1:8" x14ac:dyDescent="0.3">
      <c r="H55" s="783"/>
    </row>
    <row r="56" spans="1:8" x14ac:dyDescent="0.3">
      <c r="H56" s="783"/>
    </row>
    <row r="57" spans="1:8" x14ac:dyDescent="0.3">
      <c r="H57" s="783"/>
    </row>
    <row r="58" spans="1:8" x14ac:dyDescent="0.3">
      <c r="H58" s="783"/>
    </row>
    <row r="59" spans="1:8" x14ac:dyDescent="0.3">
      <c r="H59" s="783"/>
    </row>
    <row r="60" spans="1:8" x14ac:dyDescent="0.3">
      <c r="H60" s="783"/>
    </row>
    <row r="61" spans="1:8" x14ac:dyDescent="0.3">
      <c r="H61" s="783"/>
    </row>
    <row r="62" spans="1:8" x14ac:dyDescent="0.3">
      <c r="H62" s="783"/>
    </row>
    <row r="63" spans="1:8" x14ac:dyDescent="0.3">
      <c r="H63" s="783"/>
    </row>
    <row r="64" spans="1:8" x14ac:dyDescent="0.3">
      <c r="H64" s="783"/>
    </row>
    <row r="65" spans="8:8" x14ac:dyDescent="0.3">
      <c r="H65" s="783"/>
    </row>
    <row r="66" spans="8:8" x14ac:dyDescent="0.3">
      <c r="H66" s="783"/>
    </row>
    <row r="67" spans="8:8" x14ac:dyDescent="0.3">
      <c r="H67" s="783"/>
    </row>
    <row r="68" spans="8:8" x14ac:dyDescent="0.3">
      <c r="H68" s="783"/>
    </row>
    <row r="69" spans="8:8" x14ac:dyDescent="0.3">
      <c r="H69" s="783"/>
    </row>
    <row r="70" spans="8:8" x14ac:dyDescent="0.3">
      <c r="H70" s="783"/>
    </row>
    <row r="71" spans="8:8" x14ac:dyDescent="0.3">
      <c r="H71" s="783"/>
    </row>
    <row r="72" spans="8:8" x14ac:dyDescent="0.3">
      <c r="H72" s="783"/>
    </row>
    <row r="73" spans="8:8" x14ac:dyDescent="0.3">
      <c r="H73" s="783"/>
    </row>
    <row r="74" spans="8:8" x14ac:dyDescent="0.3">
      <c r="H74" s="783"/>
    </row>
    <row r="75" spans="8:8" x14ac:dyDescent="0.3">
      <c r="H75" s="783"/>
    </row>
    <row r="76" spans="8:8" x14ac:dyDescent="0.3">
      <c r="H76" s="783"/>
    </row>
    <row r="77" spans="8:8" x14ac:dyDescent="0.3">
      <c r="H77" s="783"/>
    </row>
    <row r="78" spans="8:8" x14ac:dyDescent="0.3">
      <c r="H78" s="783"/>
    </row>
    <row r="79" spans="8:8" x14ac:dyDescent="0.3">
      <c r="H79" s="783"/>
    </row>
    <row r="80" spans="8:8" x14ac:dyDescent="0.3">
      <c r="H80" s="783"/>
    </row>
    <row r="81" spans="8:8" x14ac:dyDescent="0.3">
      <c r="H81" s="783"/>
    </row>
    <row r="82" spans="8:8" x14ac:dyDescent="0.3">
      <c r="H82" s="783"/>
    </row>
    <row r="83" spans="8:8" x14ac:dyDescent="0.3">
      <c r="H83" s="783"/>
    </row>
    <row r="84" spans="8:8" x14ac:dyDescent="0.3">
      <c r="H84" s="783"/>
    </row>
    <row r="85" spans="8:8" x14ac:dyDescent="0.3">
      <c r="H85" s="783"/>
    </row>
    <row r="86" spans="8:8" x14ac:dyDescent="0.3">
      <c r="H86" s="783"/>
    </row>
    <row r="87" spans="8:8" x14ac:dyDescent="0.3">
      <c r="H87" s="783"/>
    </row>
    <row r="88" spans="8:8" x14ac:dyDescent="0.3">
      <c r="H88" s="783"/>
    </row>
    <row r="89" spans="8:8" x14ac:dyDescent="0.3">
      <c r="H89" s="783"/>
    </row>
    <row r="90" spans="8:8" x14ac:dyDescent="0.3">
      <c r="H90" s="783"/>
    </row>
    <row r="91" spans="8:8" x14ac:dyDescent="0.3">
      <c r="H91" s="783"/>
    </row>
    <row r="92" spans="8:8" x14ac:dyDescent="0.3">
      <c r="H92" s="783"/>
    </row>
    <row r="93" spans="8:8" x14ac:dyDescent="0.3">
      <c r="H93" s="783"/>
    </row>
    <row r="94" spans="8:8" x14ac:dyDescent="0.3">
      <c r="H94" s="783"/>
    </row>
    <row r="95" spans="8:8" x14ac:dyDescent="0.3">
      <c r="H95" s="783"/>
    </row>
    <row r="96" spans="8:8" x14ac:dyDescent="0.3">
      <c r="H96" s="783"/>
    </row>
    <row r="97" spans="8:8" x14ac:dyDescent="0.3">
      <c r="H97" s="783"/>
    </row>
    <row r="98" spans="8:8" x14ac:dyDescent="0.3">
      <c r="H98" s="783"/>
    </row>
    <row r="99" spans="8:8" x14ac:dyDescent="0.3">
      <c r="H99" s="783"/>
    </row>
    <row r="100" spans="8:8" x14ac:dyDescent="0.3">
      <c r="H100" s="783"/>
    </row>
    <row r="101" spans="8:8" x14ac:dyDescent="0.3">
      <c r="H101" s="783"/>
    </row>
    <row r="102" spans="8:8" x14ac:dyDescent="0.3">
      <c r="H102" s="783"/>
    </row>
    <row r="103" spans="8:8" x14ac:dyDescent="0.3">
      <c r="H103" s="783"/>
    </row>
    <row r="104" spans="8:8" x14ac:dyDescent="0.3">
      <c r="H104" s="783"/>
    </row>
    <row r="105" spans="8:8" x14ac:dyDescent="0.3">
      <c r="H105" s="783"/>
    </row>
    <row r="106" spans="8:8" x14ac:dyDescent="0.3">
      <c r="H106" s="783"/>
    </row>
    <row r="107" spans="8:8" x14ac:dyDescent="0.3">
      <c r="H107" s="783"/>
    </row>
    <row r="108" spans="8:8" x14ac:dyDescent="0.3">
      <c r="H108" s="783"/>
    </row>
    <row r="109" spans="8:8" x14ac:dyDescent="0.3">
      <c r="H109" s="783"/>
    </row>
    <row r="110" spans="8:8" x14ac:dyDescent="0.3">
      <c r="H110" s="783"/>
    </row>
    <row r="111" spans="8:8" x14ac:dyDescent="0.3">
      <c r="H111" s="783"/>
    </row>
    <row r="112" spans="8:8" x14ac:dyDescent="0.3">
      <c r="H112" s="783"/>
    </row>
    <row r="113" spans="8:8" x14ac:dyDescent="0.3">
      <c r="H113" s="783"/>
    </row>
    <row r="114" spans="8:8" x14ac:dyDescent="0.3">
      <c r="H114" s="783"/>
    </row>
    <row r="115" spans="8:8" x14ac:dyDescent="0.3">
      <c r="H115" s="783"/>
    </row>
    <row r="116" spans="8:8" x14ac:dyDescent="0.3">
      <c r="H116" s="783"/>
    </row>
    <row r="117" spans="8:8" x14ac:dyDescent="0.3">
      <c r="H117" s="783"/>
    </row>
    <row r="118" spans="8:8" x14ac:dyDescent="0.3">
      <c r="H118" s="783"/>
    </row>
    <row r="119" spans="8:8" x14ac:dyDescent="0.3">
      <c r="H119" s="783"/>
    </row>
    <row r="120" spans="8:8" x14ac:dyDescent="0.3">
      <c r="H120" s="783"/>
    </row>
    <row r="121" spans="8:8" x14ac:dyDescent="0.3">
      <c r="H121" s="783"/>
    </row>
    <row r="122" spans="8:8" x14ac:dyDescent="0.3">
      <c r="H122" s="783"/>
    </row>
    <row r="123" spans="8:8" x14ac:dyDescent="0.3">
      <c r="H123" s="783"/>
    </row>
    <row r="124" spans="8:8" x14ac:dyDescent="0.3">
      <c r="H124" s="783"/>
    </row>
    <row r="125" spans="8:8" x14ac:dyDescent="0.3">
      <c r="H125" s="783"/>
    </row>
    <row r="126" spans="8:8" x14ac:dyDescent="0.3">
      <c r="H126" s="783"/>
    </row>
    <row r="127" spans="8:8" x14ac:dyDescent="0.3">
      <c r="H127" s="783"/>
    </row>
    <row r="128" spans="8:8" x14ac:dyDescent="0.3">
      <c r="H128" s="783"/>
    </row>
    <row r="129" spans="8:8" x14ac:dyDescent="0.3">
      <c r="H129" s="783"/>
    </row>
    <row r="130" spans="8:8" x14ac:dyDescent="0.3">
      <c r="H130" s="783"/>
    </row>
    <row r="131" spans="8:8" x14ac:dyDescent="0.3">
      <c r="H131" s="783"/>
    </row>
    <row r="132" spans="8:8" x14ac:dyDescent="0.3">
      <c r="H132" s="783"/>
    </row>
    <row r="133" spans="8:8" x14ac:dyDescent="0.3">
      <c r="H133" s="783"/>
    </row>
    <row r="134" spans="8:8" x14ac:dyDescent="0.3">
      <c r="H134" s="783"/>
    </row>
    <row r="135" spans="8:8" x14ac:dyDescent="0.3">
      <c r="H135" s="783"/>
    </row>
    <row r="136" spans="8:8" x14ac:dyDescent="0.3">
      <c r="H136" s="783"/>
    </row>
    <row r="137" spans="8:8" x14ac:dyDescent="0.3">
      <c r="H137" s="783"/>
    </row>
    <row r="138" spans="8:8" x14ac:dyDescent="0.3">
      <c r="H138" s="783"/>
    </row>
    <row r="139" spans="8:8" x14ac:dyDescent="0.3">
      <c r="H139" s="783"/>
    </row>
    <row r="140" spans="8:8" x14ac:dyDescent="0.3">
      <c r="H140" s="783"/>
    </row>
    <row r="141" spans="8:8" x14ac:dyDescent="0.3">
      <c r="H141" s="783"/>
    </row>
    <row r="142" spans="8:8" x14ac:dyDescent="0.3">
      <c r="H142" s="783"/>
    </row>
    <row r="143" spans="8:8" x14ac:dyDescent="0.3">
      <c r="H143" s="783"/>
    </row>
    <row r="144" spans="8:8" x14ac:dyDescent="0.3">
      <c r="H144" s="783"/>
    </row>
    <row r="145" spans="8:8" x14ac:dyDescent="0.3">
      <c r="H145" s="783"/>
    </row>
    <row r="146" spans="8:8" x14ac:dyDescent="0.3">
      <c r="H146" s="783"/>
    </row>
    <row r="147" spans="8:8" x14ac:dyDescent="0.3">
      <c r="H147" s="783"/>
    </row>
    <row r="148" spans="8:8" x14ac:dyDescent="0.3">
      <c r="H148" s="783"/>
    </row>
    <row r="149" spans="8:8" x14ac:dyDescent="0.3">
      <c r="H149" s="783"/>
    </row>
    <row r="150" spans="8:8" x14ac:dyDescent="0.3">
      <c r="H150" s="783"/>
    </row>
    <row r="151" spans="8:8" x14ac:dyDescent="0.3">
      <c r="H151" s="783"/>
    </row>
    <row r="152" spans="8:8" x14ac:dyDescent="0.3">
      <c r="H152" s="783"/>
    </row>
    <row r="153" spans="8:8" x14ac:dyDescent="0.3">
      <c r="H153" s="783"/>
    </row>
    <row r="154" spans="8:8" x14ac:dyDescent="0.3">
      <c r="H154" s="783"/>
    </row>
    <row r="155" spans="8:8" x14ac:dyDescent="0.3">
      <c r="H155" s="783"/>
    </row>
    <row r="156" spans="8:8" x14ac:dyDescent="0.3">
      <c r="H156" s="783"/>
    </row>
    <row r="157" spans="8:8" x14ac:dyDescent="0.3">
      <c r="H157" s="783"/>
    </row>
    <row r="158" spans="8:8" x14ac:dyDescent="0.3">
      <c r="H158" s="783"/>
    </row>
    <row r="159" spans="8:8" x14ac:dyDescent="0.3">
      <c r="H159" s="783"/>
    </row>
    <row r="160" spans="8:8" x14ac:dyDescent="0.3">
      <c r="H160" s="783"/>
    </row>
    <row r="161" spans="8:8" x14ac:dyDescent="0.3">
      <c r="H161" s="783"/>
    </row>
    <row r="162" spans="8:8" x14ac:dyDescent="0.3">
      <c r="H162" s="783"/>
    </row>
    <row r="163" spans="8:8" x14ac:dyDescent="0.3">
      <c r="H163" s="783"/>
    </row>
    <row r="164" spans="8:8" x14ac:dyDescent="0.3">
      <c r="H164" s="783"/>
    </row>
    <row r="165" spans="8:8" x14ac:dyDescent="0.3">
      <c r="H165" s="783"/>
    </row>
    <row r="166" spans="8:8" x14ac:dyDescent="0.3">
      <c r="H166" s="783"/>
    </row>
    <row r="167" spans="8:8" x14ac:dyDescent="0.3">
      <c r="H167" s="783"/>
    </row>
    <row r="168" spans="8:8" x14ac:dyDescent="0.3">
      <c r="H168" s="783"/>
    </row>
    <row r="169" spans="8:8" x14ac:dyDescent="0.3">
      <c r="H169" s="783"/>
    </row>
    <row r="170" spans="8:8" x14ac:dyDescent="0.3">
      <c r="H170" s="783"/>
    </row>
    <row r="171" spans="8:8" x14ac:dyDescent="0.3">
      <c r="H171" s="783"/>
    </row>
    <row r="172" spans="8:8" x14ac:dyDescent="0.3">
      <c r="H172" s="783"/>
    </row>
    <row r="173" spans="8:8" x14ac:dyDescent="0.3">
      <c r="H173" s="783"/>
    </row>
    <row r="174" spans="8:8" x14ac:dyDescent="0.3">
      <c r="H174" s="783"/>
    </row>
    <row r="175" spans="8:8" x14ac:dyDescent="0.3">
      <c r="H175" s="783"/>
    </row>
    <row r="176" spans="8:8" x14ac:dyDescent="0.3">
      <c r="H176" s="783"/>
    </row>
    <row r="177" spans="8:8" x14ac:dyDescent="0.3">
      <c r="H177" s="783"/>
    </row>
    <row r="178" spans="8:8" x14ac:dyDescent="0.3">
      <c r="H178" s="783"/>
    </row>
    <row r="179" spans="8:8" x14ac:dyDescent="0.3">
      <c r="H179" s="783"/>
    </row>
    <row r="180" spans="8:8" x14ac:dyDescent="0.3">
      <c r="H180" s="783"/>
    </row>
    <row r="181" spans="8:8" x14ac:dyDescent="0.3">
      <c r="H181" s="783"/>
    </row>
    <row r="182" spans="8:8" x14ac:dyDescent="0.3">
      <c r="H182" s="783"/>
    </row>
    <row r="183" spans="8:8" x14ac:dyDescent="0.3">
      <c r="H183" s="783"/>
    </row>
    <row r="184" spans="8:8" x14ac:dyDescent="0.3">
      <c r="H184" s="783"/>
    </row>
    <row r="185" spans="8:8" x14ac:dyDescent="0.3">
      <c r="H185" s="783"/>
    </row>
    <row r="186" spans="8:8" x14ac:dyDescent="0.3">
      <c r="H186" s="783"/>
    </row>
    <row r="187" spans="8:8" x14ac:dyDescent="0.3">
      <c r="H187" s="783"/>
    </row>
    <row r="188" spans="8:8" x14ac:dyDescent="0.3">
      <c r="H188" s="783"/>
    </row>
    <row r="189" spans="8:8" x14ac:dyDescent="0.3">
      <c r="H189" s="783"/>
    </row>
    <row r="190" spans="8:8" x14ac:dyDescent="0.3">
      <c r="H190" s="783"/>
    </row>
    <row r="191" spans="8:8" x14ac:dyDescent="0.3">
      <c r="H191" s="783"/>
    </row>
    <row r="192" spans="8:8" x14ac:dyDescent="0.3">
      <c r="H192" s="783"/>
    </row>
    <row r="193" spans="8:8" x14ac:dyDescent="0.3">
      <c r="H193" s="783"/>
    </row>
    <row r="194" spans="8:8" x14ac:dyDescent="0.3">
      <c r="H194" s="783"/>
    </row>
    <row r="195" spans="8:8" x14ac:dyDescent="0.3">
      <c r="H195" s="783"/>
    </row>
    <row r="196" spans="8:8" x14ac:dyDescent="0.3">
      <c r="H196" s="783"/>
    </row>
    <row r="197" spans="8:8" x14ac:dyDescent="0.3">
      <c r="H197" s="783"/>
    </row>
    <row r="198" spans="8:8" x14ac:dyDescent="0.3">
      <c r="H198" s="783"/>
    </row>
    <row r="199" spans="8:8" x14ac:dyDescent="0.3">
      <c r="H199" s="783"/>
    </row>
    <row r="200" spans="8:8" x14ac:dyDescent="0.3">
      <c r="H200" s="783"/>
    </row>
    <row r="201" spans="8:8" x14ac:dyDescent="0.3">
      <c r="H201" s="783"/>
    </row>
    <row r="202" spans="8:8" x14ac:dyDescent="0.3">
      <c r="H202" s="783"/>
    </row>
    <row r="203" spans="8:8" x14ac:dyDescent="0.3">
      <c r="H203" s="783"/>
    </row>
    <row r="204" spans="8:8" x14ac:dyDescent="0.3">
      <c r="H204" s="783"/>
    </row>
    <row r="205" spans="8:8" x14ac:dyDescent="0.3">
      <c r="H205" s="783"/>
    </row>
    <row r="206" spans="8:8" x14ac:dyDescent="0.3">
      <c r="H206" s="783"/>
    </row>
    <row r="207" spans="8:8" x14ac:dyDescent="0.3">
      <c r="H207" s="783"/>
    </row>
    <row r="208" spans="8:8" x14ac:dyDescent="0.3">
      <c r="H208" s="783"/>
    </row>
    <row r="209" spans="8:8" x14ac:dyDescent="0.3">
      <c r="H209" s="783"/>
    </row>
    <row r="210" spans="8:8" x14ac:dyDescent="0.3">
      <c r="H210" s="783"/>
    </row>
    <row r="211" spans="8:8" x14ac:dyDescent="0.3">
      <c r="H211" s="783"/>
    </row>
    <row r="212" spans="8:8" x14ac:dyDescent="0.3">
      <c r="H212" s="783"/>
    </row>
    <row r="213" spans="8:8" x14ac:dyDescent="0.3">
      <c r="H213" s="783"/>
    </row>
    <row r="214" spans="8:8" x14ac:dyDescent="0.3">
      <c r="H214" s="783"/>
    </row>
    <row r="215" spans="8:8" x14ac:dyDescent="0.3">
      <c r="H215" s="783"/>
    </row>
    <row r="216" spans="8:8" x14ac:dyDescent="0.3">
      <c r="H216" s="783"/>
    </row>
    <row r="217" spans="8:8" x14ac:dyDescent="0.3">
      <c r="H217" s="783"/>
    </row>
    <row r="218" spans="8:8" x14ac:dyDescent="0.3">
      <c r="H218" s="783"/>
    </row>
    <row r="219" spans="8:8" x14ac:dyDescent="0.3">
      <c r="H219" s="783"/>
    </row>
    <row r="220" spans="8:8" x14ac:dyDescent="0.3">
      <c r="H220" s="783"/>
    </row>
    <row r="221" spans="8:8" x14ac:dyDescent="0.3">
      <c r="H221" s="783"/>
    </row>
    <row r="222" spans="8:8" x14ac:dyDescent="0.3">
      <c r="H222" s="783"/>
    </row>
    <row r="223" spans="8:8" x14ac:dyDescent="0.3">
      <c r="H223" s="783"/>
    </row>
    <row r="224" spans="8:8" x14ac:dyDescent="0.3">
      <c r="H224" s="783"/>
    </row>
    <row r="225" spans="8:8" x14ac:dyDescent="0.3">
      <c r="H225" s="783"/>
    </row>
    <row r="226" spans="8:8" x14ac:dyDescent="0.3">
      <c r="H226" s="783"/>
    </row>
    <row r="227" spans="8:8" x14ac:dyDescent="0.3">
      <c r="H227" s="783"/>
    </row>
    <row r="228" spans="8:8" x14ac:dyDescent="0.3">
      <c r="H228" s="783"/>
    </row>
    <row r="229" spans="8:8" x14ac:dyDescent="0.3">
      <c r="H229" s="783"/>
    </row>
    <row r="230" spans="8:8" x14ac:dyDescent="0.3">
      <c r="H230" s="783"/>
    </row>
    <row r="231" spans="8:8" x14ac:dyDescent="0.3">
      <c r="H231" s="783"/>
    </row>
    <row r="232" spans="8:8" x14ac:dyDescent="0.3">
      <c r="H232" s="783"/>
    </row>
    <row r="233" spans="8:8" x14ac:dyDescent="0.3">
      <c r="H233" s="783"/>
    </row>
    <row r="234" spans="8:8" x14ac:dyDescent="0.3">
      <c r="H234" s="783"/>
    </row>
    <row r="235" spans="8:8" x14ac:dyDescent="0.3">
      <c r="H235" s="783"/>
    </row>
    <row r="236" spans="8:8" x14ac:dyDescent="0.3">
      <c r="H236" s="783"/>
    </row>
    <row r="237" spans="8:8" x14ac:dyDescent="0.3">
      <c r="H237" s="783"/>
    </row>
    <row r="238" spans="8:8" x14ac:dyDescent="0.3">
      <c r="H238" s="783"/>
    </row>
    <row r="239" spans="8:8" x14ac:dyDescent="0.3">
      <c r="H239" s="783"/>
    </row>
    <row r="240" spans="8:8" x14ac:dyDescent="0.3">
      <c r="H240" s="783"/>
    </row>
    <row r="241" spans="8:8" x14ac:dyDescent="0.3">
      <c r="H241" s="783"/>
    </row>
    <row r="242" spans="8:8" x14ac:dyDescent="0.3">
      <c r="H242" s="783"/>
    </row>
    <row r="243" spans="8:8" x14ac:dyDescent="0.3">
      <c r="H243" s="783"/>
    </row>
    <row r="244" spans="8:8" x14ac:dyDescent="0.3">
      <c r="H244" s="783"/>
    </row>
    <row r="245" spans="8:8" x14ac:dyDescent="0.3">
      <c r="H245" s="783"/>
    </row>
    <row r="246" spans="8:8" x14ac:dyDescent="0.3">
      <c r="H246" s="783"/>
    </row>
    <row r="247" spans="8:8" x14ac:dyDescent="0.3">
      <c r="H247" s="783"/>
    </row>
    <row r="248" spans="8:8" x14ac:dyDescent="0.3">
      <c r="H248" s="783"/>
    </row>
    <row r="249" spans="8:8" x14ac:dyDescent="0.3">
      <c r="H249" s="783"/>
    </row>
    <row r="250" spans="8:8" x14ac:dyDescent="0.3">
      <c r="H250" s="783"/>
    </row>
    <row r="251" spans="8:8" x14ac:dyDescent="0.3">
      <c r="H251" s="783"/>
    </row>
    <row r="252" spans="8:8" x14ac:dyDescent="0.3">
      <c r="H252" s="783"/>
    </row>
    <row r="253" spans="8:8" x14ac:dyDescent="0.3">
      <c r="H253" s="783"/>
    </row>
    <row r="254" spans="8:8" x14ac:dyDescent="0.3">
      <c r="H254" s="783"/>
    </row>
    <row r="255" spans="8:8" x14ac:dyDescent="0.3">
      <c r="H255" s="783"/>
    </row>
    <row r="256" spans="8:8" x14ac:dyDescent="0.3">
      <c r="H256" s="783"/>
    </row>
    <row r="257" spans="8:8" x14ac:dyDescent="0.3">
      <c r="H257" s="783"/>
    </row>
    <row r="258" spans="8:8" x14ac:dyDescent="0.3">
      <c r="H258" s="783"/>
    </row>
    <row r="259" spans="8:8" x14ac:dyDescent="0.3">
      <c r="H259" s="783"/>
    </row>
    <row r="260" spans="8:8" x14ac:dyDescent="0.3">
      <c r="H260" s="783"/>
    </row>
    <row r="261" spans="8:8" x14ac:dyDescent="0.3">
      <c r="H261" s="783"/>
    </row>
    <row r="262" spans="8:8" x14ac:dyDescent="0.3">
      <c r="H262" s="783"/>
    </row>
    <row r="263" spans="8:8" x14ac:dyDescent="0.3">
      <c r="H263" s="783"/>
    </row>
    <row r="264" spans="8:8" x14ac:dyDescent="0.3">
      <c r="H264" s="783"/>
    </row>
    <row r="265" spans="8:8" x14ac:dyDescent="0.3">
      <c r="H265" s="783"/>
    </row>
    <row r="266" spans="8:8" x14ac:dyDescent="0.3">
      <c r="H266" s="783"/>
    </row>
    <row r="267" spans="8:8" x14ac:dyDescent="0.3">
      <c r="H267" s="783"/>
    </row>
    <row r="268" spans="8:8" x14ac:dyDescent="0.3">
      <c r="H268" s="783"/>
    </row>
    <row r="269" spans="8:8" x14ac:dyDescent="0.3">
      <c r="H269" s="783"/>
    </row>
    <row r="270" spans="8:8" x14ac:dyDescent="0.3">
      <c r="H270" s="783"/>
    </row>
    <row r="271" spans="8:8" x14ac:dyDescent="0.3">
      <c r="H271" s="783"/>
    </row>
    <row r="272" spans="8:8" x14ac:dyDescent="0.3">
      <c r="H272" s="783"/>
    </row>
    <row r="273" spans="8:8" x14ac:dyDescent="0.3">
      <c r="H273" s="783"/>
    </row>
    <row r="274" spans="8:8" x14ac:dyDescent="0.3">
      <c r="H274" s="783"/>
    </row>
    <row r="275" spans="8:8" x14ac:dyDescent="0.3">
      <c r="H275" s="783"/>
    </row>
    <row r="276" spans="8:8" x14ac:dyDescent="0.3">
      <c r="H276" s="783"/>
    </row>
    <row r="277" spans="8:8" x14ac:dyDescent="0.3">
      <c r="H277" s="783"/>
    </row>
  </sheetData>
  <conditionalFormatting sqref="D2">
    <cfRule type="iconSet" priority="44">
      <iconSet iconSet="3Symbols2">
        <cfvo type="percent" val="0"/>
        <cfvo type="num" val="0.02"/>
        <cfvo type="num" val="0.02"/>
      </iconSet>
    </cfRule>
  </conditionalFormatting>
  <conditionalFormatting sqref="D2:D20 D22:D29">
    <cfRule type="dataBar" priority="4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{78F6DFFA-6807-4F89-8108-F89C652B74C2}</x14:id>
        </ext>
      </extLst>
    </cfRule>
  </conditionalFormatting>
  <conditionalFormatting sqref="D3">
    <cfRule type="iconSet" priority="28">
      <iconSet iconSet="3Symbols2">
        <cfvo type="percent" val="0"/>
        <cfvo type="num" val="0.2"/>
        <cfvo type="num" val="0.2"/>
      </iconSet>
    </cfRule>
  </conditionalFormatting>
  <conditionalFormatting sqref="D5">
    <cfRule type="iconSet" priority="43">
      <iconSet iconSet="3Symbols2">
        <cfvo type="percent" val="0"/>
        <cfvo type="num" val="0.5"/>
        <cfvo type="num" val="0.5"/>
      </iconSet>
    </cfRule>
  </conditionalFormatting>
  <conditionalFormatting sqref="D8">
    <cfRule type="iconSet" priority="27">
      <iconSet iconSet="3Symbols2">
        <cfvo type="percent" val="0"/>
        <cfvo type="num" val="0.5"/>
        <cfvo type="num" val="0.5"/>
      </iconSet>
    </cfRule>
  </conditionalFormatting>
  <conditionalFormatting sqref="D10">
    <cfRule type="iconSet" priority="31">
      <iconSet iconSet="3Symbols2">
        <cfvo type="percent" val="0"/>
        <cfvo type="num" val="0.5"/>
        <cfvo type="num" val="0.5"/>
      </iconSet>
    </cfRule>
  </conditionalFormatting>
  <conditionalFormatting sqref="D14">
    <cfRule type="iconSet" priority="23">
      <iconSet iconSet="3Symbols2">
        <cfvo type="percent" val="0"/>
        <cfvo type="num" val="0.5"/>
        <cfvo type="num" val="0.5"/>
      </iconSet>
    </cfRule>
  </conditionalFormatting>
  <conditionalFormatting sqref="D14:D17">
    <cfRule type="dataBar" priority="2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{3C1BE058-D1A7-4C32-AC93-59C11E9FB9B8}</x14:id>
        </ext>
      </extLst>
    </cfRule>
  </conditionalFormatting>
  <conditionalFormatting sqref="D15">
    <cfRule type="iconSet" priority="21">
      <iconSet iconSet="3Symbols2">
        <cfvo type="percent" val="0"/>
        <cfvo type="num" val="0.2"/>
        <cfvo type="num" val="0.2"/>
      </iconSet>
    </cfRule>
  </conditionalFormatting>
  <conditionalFormatting sqref="D17">
    <cfRule type="iconSet" priority="22">
      <iconSet iconSet="3Symbols2">
        <cfvo type="percent" val="0"/>
        <cfvo type="num" val="0.5"/>
        <cfvo type="num" val="0.5"/>
      </iconSet>
    </cfRule>
  </conditionalFormatting>
  <conditionalFormatting sqref="D23">
    <cfRule type="iconSet" priority="34">
      <iconSet iconSet="3Symbols2">
        <cfvo type="percent" val="0"/>
        <cfvo type="num" val="0.45"/>
        <cfvo type="num" val="0.45"/>
      </iconSet>
    </cfRule>
  </conditionalFormatting>
  <conditionalFormatting sqref="D29">
    <cfRule type="iconSet" priority="30">
      <iconSet iconSet="3Symbols2">
        <cfvo type="percent" val="0"/>
        <cfvo type="num" val="0.5"/>
        <cfvo type="num" val="0.5"/>
      </iconSet>
    </cfRule>
  </conditionalFormatting>
  <conditionalFormatting sqref="D31:D34 D36">
    <cfRule type="dataBar" priority="4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{A47FBBE8-6F13-4A18-95C4-F44EA750002B}</x14:id>
        </ext>
      </extLst>
    </cfRule>
  </conditionalFormatting>
  <conditionalFormatting sqref="D36">
    <cfRule type="iconSet" priority="29">
      <iconSet iconSet="3Symbols2">
        <cfvo type="percent" val="0"/>
        <cfvo type="num" val="0.5"/>
        <cfvo type="num" val="0.5"/>
      </iconSet>
    </cfRule>
  </conditionalFormatting>
  <conditionalFormatting sqref="N6">
    <cfRule type="iconSet" priority="18">
      <iconSet iconSet="3Symbols2">
        <cfvo type="percent" val="0"/>
        <cfvo type="num" val="0.45"/>
        <cfvo type="num" val="0.45"/>
      </iconSet>
    </cfRule>
  </conditionalFormatting>
  <conditionalFormatting sqref="N9:N12 N14">
    <cfRule type="dataBar" priority="1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{8C052A80-3F68-403D-94B3-76153F36ADFD}</x14:id>
        </ext>
      </extLst>
    </cfRule>
  </conditionalFormatting>
  <conditionalFormatting sqref="N14">
    <cfRule type="iconSet" priority="6">
      <iconSet iconSet="3Symbols2">
        <cfvo type="percent" val="0"/>
        <cfvo type="num" val="0.5"/>
        <cfvo type="num" val="0.5"/>
      </iconSet>
    </cfRule>
  </conditionalFormatting>
  <conditionalFormatting sqref="N18:N22">
    <cfRule type="dataBar" priority="1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{90242681-10CB-4DA5-91E2-6479D2CE9D84}</x14:id>
        </ext>
      </extLst>
    </cfRule>
  </conditionalFormatting>
  <conditionalFormatting sqref="N19">
    <cfRule type="iconSet" priority="13">
      <iconSet iconSet="3Symbols2">
        <cfvo type="percent" val="0"/>
        <cfvo type="num" val="0.1"/>
        <cfvo type="num" val="0.1"/>
      </iconSet>
    </cfRule>
  </conditionalFormatting>
  <conditionalFormatting sqref="N22">
    <cfRule type="iconSet" priority="12">
      <iconSet iconSet="3Symbols2">
        <cfvo type="percent" val="0"/>
        <cfvo type="num" val="0.5"/>
        <cfvo type="num" val="0.5"/>
      </iconSet>
    </cfRule>
  </conditionalFormatting>
  <conditionalFormatting sqref="N26">
    <cfRule type="iconSet" priority="2">
      <iconSet iconSet="3Symbols2">
        <cfvo type="percent" val="0"/>
        <cfvo type="num" val="0.3"/>
        <cfvo type="num" val="0.3"/>
      </iconSet>
    </cfRule>
  </conditionalFormatting>
  <conditionalFormatting sqref="N26:N29 N34 N36:N38 N2:N6">
    <cfRule type="dataBar" priority="1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{BF4DF544-4C77-4C04-B702-146FB3CB5E9F}</x14:id>
        </ext>
      </extLst>
    </cfRule>
  </conditionalFormatting>
  <conditionalFormatting sqref="N28">
    <cfRule type="iconSet" priority="1">
      <iconSet iconSet="3Symbols2">
        <cfvo type="percent" val="0"/>
        <cfvo type="num" val="0.4"/>
        <cfvo type="num" val="0.4"/>
      </iconSet>
    </cfRule>
  </conditionalFormatting>
  <conditionalFormatting sqref="N29">
    <cfRule type="iconSet" priority="11">
      <iconSet iconSet="3Symbols2">
        <cfvo type="percent" val="0"/>
        <cfvo type="num" val="0.45"/>
        <cfvo type="num" val="0.45"/>
      </iconSet>
    </cfRule>
  </conditionalFormatting>
  <conditionalFormatting sqref="N34 N36:N37">
    <cfRule type="iconSet" priority="7">
      <iconSet iconSet="3Symbols2">
        <cfvo type="percent" val="0"/>
        <cfvo type="num" val="0.1"/>
        <cfvo type="num" val="0.1"/>
      </iconSet>
    </cfRule>
  </conditionalFormatting>
  <conditionalFormatting sqref="N38">
    <cfRule type="iconSet" priority="8">
      <iconSet iconSet="3Symbols2">
        <cfvo type="percent" val="0"/>
        <cfvo type="num" val="0.5"/>
        <cfvo type="num" val="0.5"/>
      </iconSet>
    </cfRule>
  </conditionalFormatting>
  <conditionalFormatting sqref="N41:N42 N45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{8B0A9744-3129-4B19-9479-644B08A14968}</x14:id>
        </ext>
      </extLst>
    </cfRule>
  </conditionalFormatting>
  <conditionalFormatting sqref="N45">
    <cfRule type="iconSet" priority="3">
      <iconSet iconSet="3Symbols2">
        <cfvo type="percent" val="0"/>
        <cfvo type="num" val="0.5"/>
        <cfvo type="num" val="0.5"/>
      </iconSet>
    </cfRule>
  </conditionalFormatting>
  <hyperlinks>
    <hyperlink ref="K17" r:id="rId1" xr:uid="{51549C5F-5BAB-4BFA-9624-76DEA7C1D7FF}"/>
    <hyperlink ref="K8" r:id="rId2" xr:uid="{A56B8674-9485-404E-B22E-DEB385BEF43A}"/>
  </hyperlinks>
  <pageMargins left="0.7" right="0.7" top="0.75" bottom="0.75" header="0.3" footer="0.3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8F6DFFA-6807-4F89-8108-F89C652B74C2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D2:D20 D22:D29</xm:sqref>
        </x14:conditionalFormatting>
        <x14:conditionalFormatting xmlns:xm="http://schemas.microsoft.com/office/excel/2006/main">
          <x14:cfRule type="dataBar" id="{3C1BE058-D1A7-4C32-AC93-59C11E9FB9B8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theme="2" tint="-0.249977111117893"/>
              <x14:negativeFillColor rgb="FFFF0000"/>
              <x14:negativeBorderColor rgb="FFFF0000"/>
              <x14:axisColor rgb="FF000000"/>
            </x14:dataBar>
          </x14:cfRule>
          <xm:sqref>D14:D17</xm:sqref>
        </x14:conditionalFormatting>
        <x14:conditionalFormatting xmlns:xm="http://schemas.microsoft.com/office/excel/2006/main">
          <x14:cfRule type="dataBar" id="{A47FBBE8-6F13-4A18-95C4-F44EA750002B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D31:D34 D36</xm:sqref>
        </x14:conditionalFormatting>
        <x14:conditionalFormatting xmlns:xm="http://schemas.microsoft.com/office/excel/2006/main">
          <x14:cfRule type="iconSet" priority="36" id="{A7B0F8A9-98B9-49EE-84D8-51640F317D61}">
            <x14:iconSet iconSet="3Stars">
              <x14:cfvo type="percent">
                <xm:f>0</xm:f>
              </x14:cfvo>
              <x14:cfvo type="num">
                <xm:f>2</xm:f>
              </x14:cfvo>
              <x14:cfvo type="num">
                <xm:f>2</xm:f>
              </x14:cfvo>
            </x14:iconSet>
          </x14:cfRule>
          <xm:sqref>E5</xm:sqref>
        </x14:conditionalFormatting>
        <x14:conditionalFormatting xmlns:xm="http://schemas.microsoft.com/office/excel/2006/main">
          <x14:cfRule type="iconSet" priority="37" id="{07579A25-EF57-4B83-B235-6029A73A7001}">
            <x14:iconSet iconSet="3Stars">
              <x14:cfvo type="percent">
                <xm:f>0</xm:f>
              </x14:cfvo>
              <x14:cfvo type="num">
                <xm:f>2</xm:f>
              </x14:cfvo>
              <x14:cfvo type="num">
                <xm:f>2</xm:f>
              </x14:cfvo>
            </x14:iconSet>
          </x14:cfRule>
          <xm:sqref>E10</xm:sqref>
        </x14:conditionalFormatting>
        <x14:conditionalFormatting xmlns:xm="http://schemas.microsoft.com/office/excel/2006/main">
          <x14:cfRule type="iconSet" priority="25" id="{C4C2776C-70AB-4EE2-B1FF-334A9FBDCF39}">
            <x14:iconSet iconSet="3Stars">
              <x14:cfvo type="percent">
                <xm:f>0</xm:f>
              </x14:cfvo>
              <x14:cfvo type="num">
                <xm:f>2</xm:f>
              </x14:cfvo>
              <x14:cfvo type="num">
                <xm:f>2</xm:f>
              </x14:cfvo>
            </x14:iconSet>
          </x14:cfRule>
          <xm:sqref>E17</xm:sqref>
        </x14:conditionalFormatting>
        <x14:conditionalFormatting xmlns:xm="http://schemas.microsoft.com/office/excel/2006/main">
          <x14:cfRule type="iconSet" priority="35" id="{5012C951-EDD1-40DD-85F9-678D0D9FBC99}">
            <x14:iconSet iconSet="3Stars">
              <x14:cfvo type="percent">
                <xm:f>0</xm:f>
              </x14:cfvo>
              <x14:cfvo type="num">
                <xm:f>2</xm:f>
              </x14:cfvo>
              <x14:cfvo type="num">
                <xm:f>2</xm:f>
              </x14:cfvo>
            </x14:iconSet>
          </x14:cfRule>
          <xm:sqref>E23</xm:sqref>
        </x14:conditionalFormatting>
        <x14:conditionalFormatting xmlns:xm="http://schemas.microsoft.com/office/excel/2006/main">
          <x14:cfRule type="iconSet" priority="33" id="{58C4A7A9-8AFF-4526-B6F6-61FEACB5D811}">
            <x14:iconSet iconSet="3Stars">
              <x14:cfvo type="percent">
                <xm:f>0</xm:f>
              </x14:cfvo>
              <x14:cfvo type="num">
                <xm:f>2</xm:f>
              </x14:cfvo>
              <x14:cfvo type="num">
                <xm:f>2</xm:f>
              </x14:cfvo>
            </x14:iconSet>
          </x14:cfRule>
          <xm:sqref>E29</xm:sqref>
        </x14:conditionalFormatting>
        <x14:conditionalFormatting xmlns:xm="http://schemas.microsoft.com/office/excel/2006/main">
          <x14:cfRule type="iconSet" priority="32" id="{9C0F951D-F4FB-47CD-9118-60BD194A84DF}">
            <x14:iconSet iconSet="3Stars">
              <x14:cfvo type="percent">
                <xm:f>0</xm:f>
              </x14:cfvo>
              <x14:cfvo type="num">
                <xm:f>2</xm:f>
              </x14:cfvo>
              <x14:cfvo type="num">
                <xm:f>2</xm:f>
              </x14:cfvo>
            </x14:iconSet>
          </x14:cfRule>
          <xm:sqref>E36</xm:sqref>
        </x14:conditionalFormatting>
        <x14:conditionalFormatting xmlns:xm="http://schemas.microsoft.com/office/excel/2006/main">
          <x14:cfRule type="dataBar" id="{8C052A80-3F68-403D-94B3-76153F36ADFD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N9:N12 N14</xm:sqref>
        </x14:conditionalFormatting>
        <x14:conditionalFormatting xmlns:xm="http://schemas.microsoft.com/office/excel/2006/main">
          <x14:cfRule type="dataBar" id="{90242681-10CB-4DA5-91E2-6479D2CE9D84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N18:N22</xm:sqref>
        </x14:conditionalFormatting>
        <x14:conditionalFormatting xmlns:xm="http://schemas.microsoft.com/office/excel/2006/main">
          <x14:cfRule type="dataBar" id="{BF4DF544-4C77-4C04-B702-146FB3CB5E9F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N26:N29 N34 N36:N38 N2:N6</xm:sqref>
        </x14:conditionalFormatting>
        <x14:conditionalFormatting xmlns:xm="http://schemas.microsoft.com/office/excel/2006/main">
          <x14:cfRule type="dataBar" id="{8B0A9744-3129-4B19-9479-644B08A14968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N41:N42 N45</xm:sqref>
        </x14:conditionalFormatting>
        <x14:conditionalFormatting xmlns:xm="http://schemas.microsoft.com/office/excel/2006/main">
          <x14:cfRule type="iconSet" priority="20" id="{D9A214A3-7B8A-4E76-A5C5-11BBD6F8AED8}">
            <x14:iconSet iconSet="3Stars">
              <x14:cfvo type="percent">
                <xm:f>0</xm:f>
              </x14:cfvo>
              <x14:cfvo type="num">
                <xm:f>2</xm:f>
              </x14:cfvo>
              <x14:cfvo type="num">
                <xm:f>2</xm:f>
              </x14:cfvo>
            </x14:iconSet>
          </x14:cfRule>
          <xm:sqref>O6</xm:sqref>
        </x14:conditionalFormatting>
        <x14:conditionalFormatting xmlns:xm="http://schemas.microsoft.com/office/excel/2006/main">
          <x14:cfRule type="iconSet" priority="15" id="{5821FA43-0A0C-48E3-A3FB-1B84B6D4D39E}">
            <x14:iconSet iconSet="3Stars">
              <x14:cfvo type="percent">
                <xm:f>0</xm:f>
              </x14:cfvo>
              <x14:cfvo type="num">
                <xm:f>2</xm:f>
              </x14:cfvo>
              <x14:cfvo type="num">
                <xm:f>2</xm:f>
              </x14:cfvo>
            </x14:iconSet>
          </x14:cfRule>
          <xm:sqref>O14</xm:sqref>
        </x14:conditionalFormatting>
        <x14:conditionalFormatting xmlns:xm="http://schemas.microsoft.com/office/excel/2006/main">
          <x14:cfRule type="iconSet" priority="14" id="{330E2C54-C24E-481C-82D2-8B624956218D}">
            <x14:iconSet iconSet="3Stars">
              <x14:cfvo type="percent">
                <xm:f>0</xm:f>
              </x14:cfvo>
              <x14:cfvo type="num">
                <xm:f>2</xm:f>
              </x14:cfvo>
              <x14:cfvo type="num">
                <xm:f>2</xm:f>
              </x14:cfvo>
            </x14:iconSet>
          </x14:cfRule>
          <xm:sqref>O22</xm:sqref>
        </x14:conditionalFormatting>
        <x14:conditionalFormatting xmlns:xm="http://schemas.microsoft.com/office/excel/2006/main">
          <x14:cfRule type="iconSet" priority="10" id="{0EC22C45-329B-49D3-9E6C-5244AE2116EE}">
            <x14:iconSet iconSet="3Stars">
              <x14:cfvo type="percent">
                <xm:f>0</xm:f>
              </x14:cfvo>
              <x14:cfvo type="num">
                <xm:f>2</xm:f>
              </x14:cfvo>
              <x14:cfvo type="num">
                <xm:f>2</xm:f>
              </x14:cfvo>
            </x14:iconSet>
          </x14:cfRule>
          <xm:sqref>O29</xm:sqref>
        </x14:conditionalFormatting>
        <x14:conditionalFormatting xmlns:xm="http://schemas.microsoft.com/office/excel/2006/main">
          <x14:cfRule type="iconSet" priority="9" id="{0CCCE071-763E-433A-8C7F-B24B3EB9AF20}">
            <x14:iconSet iconSet="3Stars">
              <x14:cfvo type="percent">
                <xm:f>0</xm:f>
              </x14:cfvo>
              <x14:cfvo type="num">
                <xm:f>2</xm:f>
              </x14:cfvo>
              <x14:cfvo type="num">
                <xm:f>2</xm:f>
              </x14:cfvo>
            </x14:iconSet>
          </x14:cfRule>
          <xm:sqref>O38</xm:sqref>
        </x14:conditionalFormatting>
        <x14:conditionalFormatting xmlns:xm="http://schemas.microsoft.com/office/excel/2006/main">
          <x14:cfRule type="iconSet" priority="4" id="{C693EFE7-285B-4D5B-B7E5-E357B9B50081}">
            <x14:iconSet iconSet="3Stars">
              <x14:cfvo type="percent">
                <xm:f>0</xm:f>
              </x14:cfvo>
              <x14:cfvo type="num">
                <xm:f>2</xm:f>
              </x14:cfvo>
              <x14:cfvo type="num">
                <xm:f>2</xm:f>
              </x14:cfvo>
            </x14:iconSet>
          </x14:cfRule>
          <xm:sqref>O45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11</vt:i4>
      </vt:variant>
    </vt:vector>
  </HeadingPairs>
  <TitlesOfParts>
    <vt:vector size="11" baseType="lpstr">
      <vt:lpstr>ECTS</vt:lpstr>
      <vt:lpstr>SEM1</vt:lpstr>
      <vt:lpstr>SEM1_rokovi</vt:lpstr>
      <vt:lpstr>SEM2</vt:lpstr>
      <vt:lpstr>SEM2_rokovi</vt:lpstr>
      <vt:lpstr>SEM3_E</vt:lpstr>
      <vt:lpstr>SEM3_R</vt:lpstr>
      <vt:lpstr>SEM3_rokovi</vt:lpstr>
      <vt:lpstr>SEM4_E</vt:lpstr>
      <vt:lpstr>SEM4_R</vt:lpstr>
      <vt:lpstr>SEM4_rokovi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Roko tojcic</dc:creator>
  <cp:lastModifiedBy>Antea Parat</cp:lastModifiedBy>
  <dcterms:created xsi:type="dcterms:W3CDTF">2015-06-05T18:17:20Z</dcterms:created>
  <dcterms:modified xsi:type="dcterms:W3CDTF">2025-05-15T15:30:22Z</dcterms:modified>
</cp:coreProperties>
</file>